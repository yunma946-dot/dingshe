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Height="16455" activeTab="4"/>
  </bookViews>
  <sheets>
    <sheet name="资料批量编辑" sheetId="1" r:id="rId1"/>
    <sheet name="首页设置" sheetId="2" r:id="rId2"/>
    <sheet name="城市首页" sheetId="3" r:id="rId3"/>
    <sheet name="固定页面" sheetId="4" r:id="rId4"/>
    <sheet name="页脚设置" sheetId="5" r:id="rId5"/>
    <sheet name="使用说明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<sst xmlns="http://schemas.openxmlformats.org/spreadsheetml/2006/main" count="2523" uniqueCount="1260">
  <si>
    <t>顶奢 · 整站资料批量编辑</t>
  </si>
  <si>
    <t>黄色单元格可以修改。现有模板默认不收录；内容、真实媒体和审核信息完成后再开启收录。</t>
  </si>
  <si>
    <t>城市</t>
  </si>
  <si>
    <t>city_slug</t>
  </si>
  <si>
    <t>编号</t>
  </si>
  <si>
    <t>slug</t>
  </si>
  <si>
    <t>页面名称</t>
  </si>
  <si>
    <t>SEO标题</t>
  </si>
  <si>
    <t>SEO描述</t>
  </si>
  <si>
    <t>卡片/顶部简介</t>
  </si>
  <si>
    <t>风格/标签</t>
  </si>
  <si>
    <t>详情说明</t>
  </si>
  <si>
    <t>正文1</t>
  </si>
  <si>
    <t>正文2</t>
  </si>
  <si>
    <t>正文3</t>
  </si>
  <si>
    <t>图片文件夹</t>
  </si>
  <si>
    <t>图片1</t>
  </si>
  <si>
    <t>图片2</t>
  </si>
  <si>
    <t>图片3</t>
  </si>
  <si>
    <t>视频文件</t>
  </si>
  <si>
    <t>处理图片</t>
  </si>
  <si>
    <t>页面URL</t>
  </si>
  <si>
    <t>发布状态</t>
  </si>
  <si>
    <t>允许收录</t>
  </si>
  <si>
    <t>首页精选</t>
  </si>
  <si>
    <t>显示顺序</t>
  </si>
  <si>
    <t>首次发布日期</t>
  </si>
  <si>
    <t>最后更新日期</t>
  </si>
  <si>
    <t>图片1 ALT</t>
  </si>
  <si>
    <t>图片1说明</t>
  </si>
  <si>
    <t>图片2 ALT</t>
  </si>
  <si>
    <t>图片2说明</t>
  </si>
  <si>
    <t>图片3 ALT</t>
  </si>
  <si>
    <t>图片3说明</t>
  </si>
  <si>
    <t>视频标题</t>
  </si>
  <si>
    <t>视频描述</t>
  </si>
  <si>
    <t>视频封面</t>
  </si>
  <si>
    <t>视频上传日期</t>
  </si>
  <si>
    <t>视频时长</t>
  </si>
  <si>
    <t>内容审核状态</t>
  </si>
  <si>
    <t>上海</t>
  </si>
  <si>
    <t>shanghai</t>
  </si>
  <si>
    <t>001</t>
  </si>
  <si>
    <t>model-001</t>
  </si>
  <si>
    <t>上海外围模特鹿鹿</t>
  </si>
  <si>
    <t>上海外围｜上海商务模特｜上海外围模特</t>
  </si>
  <si>
    <t>08年  天然🐻 168d</t>
  </si>
  <si>
    <t>纯欲</t>
  </si>
  <si>
    <t>三点粉
马甲线  蜜桃🍑臀
皮肤雪白 0瑕疵 精致纯欲
有舞蹈功底  柔韧性极强</t>
  </si>
  <si>
    <t>如需咨询上海外围女模特相关问题，如：预约、价格、服务等请联系我们！</t>
  </si>
  <si>
    <t>欢迎关注收藏顶奢外围平台！本页面只是为用户提供关注的上海外围女模特的相关信息，不保证此上海外围女模特时效性，想了解更多类型上海外围女模特资讯请联系我们加入会员后获取，望理解！</t>
  </si>
  <si>
    <t>photos/shanghai-model-001</t>
  </si>
  <si>
    <t>photos/shanghai-model-001/01.jpg</t>
  </si>
  <si>
    <t>photos/shanghai-model-001/02.jpg</t>
  </si>
  <si>
    <t>photos/shanghai-model-001/03.jpg</t>
  </si>
  <si>
    <t>photos/shanghai-model-001/profile.mp4</t>
  </si>
  <si>
    <t>否</t>
  </si>
  <si>
    <t>https://hqq2.com/shanghai/model-001/</t>
  </si>
  <si>
    <t>已发布</t>
  </si>
  <si>
    <t>是</t>
  </si>
  <si>
    <t>已完成</t>
  </si>
  <si>
    <t>002</t>
  </si>
  <si>
    <t>model-002</t>
  </si>
  <si>
    <t>上海外围模特依依</t>
  </si>
  <si>
    <t>上海外围 ｜上海外围女｜上海外围女联系方式</t>
  </si>
  <si>
    <t>年龄04年 净身高170cm 体重49kg 胸E</t>
  </si>
  <si>
    <t>香港大学高材生
三点粉
马甲线  蜜桃🍑臀
皮肤雪白 0瑕疵 精致纯欲
有舞蹈功底  柔韧性极强</t>
  </si>
  <si>
    <t>photos/shanghai-model-002</t>
  </si>
  <si>
    <t>photos/shanghai-model-002/01.jpg</t>
  </si>
  <si>
    <t>photos/shanghai-model-002/02.jpg</t>
  </si>
  <si>
    <t>photos/shanghai-model-002/03.jpg</t>
  </si>
  <si>
    <t>photos/shanghai-model-002/profile.mp4</t>
  </si>
  <si>
    <t>https://hqq2.com/shanghai/model-002/</t>
  </si>
  <si>
    <t>003</t>
  </si>
  <si>
    <t>model-003</t>
  </si>
  <si>
    <t>上海外围模特Lisa</t>
  </si>
  <si>
    <t>上海外围｜上海高端外围｜上海外围上门</t>
  </si>
  <si>
    <t>176高百醇  纯欲天花板 </t>
  </si>
  <si>
    <t>💗全身紧致 全原无整 可素颜    
💗雪白皮全身无一处纹身
💗超白超嫩超滑腻💦多
💗性格好女友体验感
💗只接素质🉑</t>
  </si>
  <si>
    <t>photos/shanghai-model-003</t>
  </si>
  <si>
    <t>photos/shanghai-model-003/01.jpg</t>
  </si>
  <si>
    <t>photos/shanghai-model-003/02.jpg</t>
  </si>
  <si>
    <t>photos/shanghai-model-003/03.jpg</t>
  </si>
  <si>
    <t>photos/shanghai-model-003/profile.mp4</t>
  </si>
  <si>
    <t>https://hqq2.com/shanghai/model-003/</t>
  </si>
  <si>
    <t>004</t>
  </si>
  <si>
    <t>model-004</t>
  </si>
  <si>
    <r>
      <rPr>
        <sz val="10"/>
        <color rgb="FF2B2424"/>
        <rFont val="宋体"/>
        <charset val="134"/>
      </rPr>
      <t>上海外围模特</t>
    </r>
    <r>
      <rPr>
        <sz val="10"/>
        <color rgb="FF2B2424"/>
        <rFont val="Arial"/>
        <charset val="134"/>
      </rPr>
      <t>LL</t>
    </r>
  </si>
  <si>
    <t>上海外围｜上海外围预约｜上海上门服务</t>
  </si>
  <si>
    <t>身高/175
体重/97
胸围/D</t>
  </si>
  <si>
    <t> 全身天然无整容 
 气质谈吐俱佳 身材极佳
A4腰 蜜桃臀 温柔御姐音 性格好 配合度</t>
  </si>
  <si>
    <t>photos/shanghai-model-004</t>
  </si>
  <si>
    <t>photos/shanghai-model-004/01.jpg</t>
  </si>
  <si>
    <t>photos/shanghai-model-004/02.jpg</t>
  </si>
  <si>
    <t>photos/shanghai-model-004/03.jpg</t>
  </si>
  <si>
    <t>photos/shanghai-model-004/profile.mp4</t>
  </si>
  <si>
    <t>https://hqq2.com/shanghai/model-004/</t>
  </si>
  <si>
    <t>005</t>
  </si>
  <si>
    <t>model-005</t>
  </si>
  <si>
    <t>上海外围模特纯欲</t>
  </si>
  <si>
    <t>上海外围｜上海怎么找外围｜上海外围资源</t>
  </si>
  <si>
    <t>170 36E</t>
  </si>
  <si>
    <r>
      <rPr>
        <sz val="10"/>
        <color rgb="FF2B2424"/>
        <rFont val="宋体"/>
        <charset val="134"/>
      </rPr>
      <t>真</t>
    </r>
    <r>
      <rPr>
        <sz val="10"/>
        <color rgb="FF2B2424"/>
        <rFont val="Arial"/>
        <charset val="134"/>
      </rPr>
      <t>🐻 </t>
    </r>
    <r>
      <rPr>
        <sz val="10"/>
        <color rgb="FF2B2424"/>
        <rFont val="宋体"/>
        <charset val="134"/>
      </rPr>
      <t>超绝蜜桃</t>
    </r>
    <r>
      <rPr>
        <sz val="10"/>
        <color rgb="FF2B2424"/>
        <rFont val="Arial"/>
        <charset val="134"/>
      </rPr>
      <t>🍑</t>
    </r>
    <r>
      <rPr>
        <sz val="10"/>
        <color rgb="FF2B2424"/>
        <rFont val="宋体"/>
        <charset val="134"/>
      </rPr>
      <t>臀</t>
    </r>
    <r>
      <rPr>
        <sz val="10"/>
        <color rgb="FF2B2424"/>
        <rFont val="Arial"/>
        <charset val="134"/>
      </rPr>
      <t xml:space="preserve">
</t>
    </r>
    <r>
      <rPr>
        <sz val="10"/>
        <color rgb="FF2B2424"/>
        <rFont val="宋体"/>
        <charset val="134"/>
      </rPr>
      <t>常年健身</t>
    </r>
    <r>
      <rPr>
        <sz val="10"/>
        <color rgb="FF2B2424"/>
        <rFont val="Arial"/>
        <charset val="134"/>
      </rPr>
      <t>🏋️ </t>
    </r>
    <r>
      <rPr>
        <sz val="10"/>
        <color rgb="FF2B2424"/>
        <rFont val="宋体"/>
        <charset val="134"/>
      </rPr>
      <t>完美比例</t>
    </r>
    <r>
      <rPr>
        <sz val="10"/>
        <color rgb="FF2B2424"/>
        <rFont val="Arial"/>
        <charset val="134"/>
      </rPr>
      <t xml:space="preserve"> 
</t>
    </r>
    <r>
      <rPr>
        <sz val="10"/>
        <color rgb="FF2B2424"/>
        <rFont val="宋体"/>
        <charset val="134"/>
      </rPr>
      <t>留学生</t>
    </r>
    <r>
      <rPr>
        <sz val="10"/>
        <color rgb="FF2B2424"/>
        <rFont val="Arial"/>
        <charset val="134"/>
      </rPr>
      <t xml:space="preserve"> 
</t>
    </r>
    <r>
      <rPr>
        <sz val="10"/>
        <color rgb="FF2B2424"/>
        <rFont val="宋体"/>
        <charset val="134"/>
      </rPr>
      <t>短暂停留</t>
    </r>
    <r>
      <rPr>
        <sz val="10"/>
        <color rgb="FF2B2424"/>
        <rFont val="Arial"/>
        <charset val="134"/>
      </rPr>
      <t> </t>
    </r>
    <r>
      <rPr>
        <sz val="10"/>
        <color rgb="FF2B2424"/>
        <rFont val="宋体"/>
        <charset val="134"/>
      </rPr>
      <t>纯欲</t>
    </r>
    <r>
      <rPr>
        <sz val="10"/>
        <color rgb="FF2B2424"/>
        <rFont val="Arial"/>
        <charset val="134"/>
      </rPr>
      <t> </t>
    </r>
    <r>
      <rPr>
        <sz val="10"/>
        <color rgb="FF2B2424"/>
        <rFont val="宋体"/>
        <charset val="134"/>
      </rPr>
      <t>可甜可御</t>
    </r>
  </si>
  <si>
    <t>photos/shanghai-model-005</t>
  </si>
  <si>
    <t>photos/shanghai-model-005/01.jpg</t>
  </si>
  <si>
    <t>photos/shanghai-model-005/02.jpg</t>
  </si>
  <si>
    <t>photos/shanghai-model-005/03.jpg</t>
  </si>
  <si>
    <t>photos/shanghai-model-005/profile.mp4</t>
  </si>
  <si>
    <t>https://hqq2.com/shanghai/model-005/</t>
  </si>
  <si>
    <t>006</t>
  </si>
  <si>
    <t>model-006</t>
  </si>
  <si>
    <t>上海外围模特可可</t>
  </si>
  <si>
    <t>上海外围｜上海上门服务｜上海外围工作室</t>
  </si>
  <si>
    <t>01身高175
胸 E腰围60  臀围98</t>
  </si>
  <si>
    <r>
      <rPr>
        <sz val="10"/>
        <color rgb="FF2B2424"/>
        <rFont val="宋体"/>
        <charset val="134"/>
      </rPr>
      <t>0</t>
    </r>
    <r>
      <rPr>
        <sz val="10"/>
        <color rgb="FF2B2424"/>
        <rFont val="Times New Roman"/>
        <charset val="134"/>
      </rPr>
      <t>⃣</t>
    </r>
    <r>
      <rPr>
        <sz val="10"/>
        <color rgb="FF2B2424"/>
        <rFont val="宋体"/>
        <charset val="134"/>
      </rPr>
      <t>️整 🈚️纹身 不吸烟🚬
🉑洋气纯欲风格   自由切换
非常听话懂事 服务每一个都是好评</t>
    </r>
  </si>
  <si>
    <t>photos/shanghai-model-006</t>
  </si>
  <si>
    <t>photos/shanghai-model-006/01.jpg</t>
  </si>
  <si>
    <t>photos/shanghai-model-006/02.jpg</t>
  </si>
  <si>
    <t>photos/shanghai-model-006/03.jpg</t>
  </si>
  <si>
    <t>photos/shanghai-model-006/profile.mp4</t>
  </si>
  <si>
    <t>https://hqq2.com/shanghai/model-006/</t>
  </si>
  <si>
    <t>007</t>
  </si>
  <si>
    <t>model-007</t>
  </si>
  <si>
    <t>上海外围模特丸子</t>
  </si>
  <si>
    <t>上海外围｜上海外围女｜上海学生上门</t>
  </si>
  <si>
    <t>05 175  真胸c </t>
  </si>
  <si>
    <t>轻奢</t>
  </si>
  <si>
    <t>纯端庄高百醇  紧致匀称肉 视频1：1
肤色冷白皮  皮肤紧致嫩滑 三点粉
爱好健身 高尔夫 翘臀 筷子腿 全身雪白无瑕疵 童颜巨乳 天然无整 
黄金比例 气质女神款  
初恋感觉 只见高素质🉑</t>
  </si>
  <si>
    <t>photos/shanghai-model-007</t>
  </si>
  <si>
    <t>photos/shanghai-model-007/01.jpg</t>
  </si>
  <si>
    <t>photos/shanghai-model-007/02.jpg</t>
  </si>
  <si>
    <t>photos/shanghai-model-007/03.jpg</t>
  </si>
  <si>
    <t>photos/shanghai-model-007/profile.mp4</t>
  </si>
  <si>
    <t>https://hqq2.com/shanghai/model-007/</t>
  </si>
  <si>
    <t>008</t>
  </si>
  <si>
    <t>model-008</t>
  </si>
  <si>
    <t>上海外围模特</t>
  </si>
  <si>
    <t>上海外围｜上海外围模特预约｜上海学生外围</t>
  </si>
  <si>
    <t>06年 在校学生</t>
  </si>
  <si>
    <t>清新</t>
  </si>
  <si>
    <t>乖宝宝 娇小
可素颜见 兼职 提前预约
拒绝不礼貌无素质 谢谢理解</t>
  </si>
  <si>
    <t>photos/shanghai-model-008</t>
  </si>
  <si>
    <t>photos/shanghai-model-008/01.jpg</t>
  </si>
  <si>
    <t>photos/shanghai-model-008/02.jpg</t>
  </si>
  <si>
    <t>photos/shanghai-model-008/03.jpg</t>
  </si>
  <si>
    <t>photos/shanghai-model-008/profile.mp4</t>
  </si>
  <si>
    <t>https://hqq2.com/shanghai/model-008/</t>
  </si>
  <si>
    <t>009</t>
  </si>
  <si>
    <t>model-009</t>
  </si>
  <si>
    <t>上海外围模特蝶语</t>
  </si>
  <si>
    <t>上海外围｜上海外围经纪人｜上海外围资源</t>
  </si>
  <si>
    <t>🐻34c 170cm 43kg 05年</t>
  </si>
  <si>
    <t>清纯</t>
  </si>
  <si>
    <r>
      <rPr>
        <sz val="10"/>
        <color rgb="FF2B2424"/>
        <rFont val="宋体"/>
        <charset val="134"/>
      </rPr>
      <t>🥢腿  A4腰  小翘臀  骨感女孩
幼师大学生</t>
    </r>
    <r>
      <rPr>
        <sz val="10"/>
        <color rgb="FF2B2424"/>
        <rFont val="Arial"/>
        <charset val="134"/>
      </rPr>
      <t xml:space="preserve">  </t>
    </r>
    <r>
      <rPr>
        <sz val="10"/>
        <color rgb="FF2B2424"/>
        <rFont val="宋体"/>
        <charset val="134"/>
      </rPr>
      <t>爱笑的甜美女孩</t>
    </r>
    <r>
      <rPr>
        <sz val="10"/>
        <color rgb="FF2B2424"/>
        <rFont val="Arial"/>
        <charset val="134"/>
      </rPr>
      <t> </t>
    </r>
    <r>
      <rPr>
        <sz val="10"/>
        <color rgb="FF2B2424"/>
        <rFont val="宋体"/>
        <charset val="134"/>
      </rPr>
      <t>温柔迷人优雅</t>
    </r>
  </si>
  <si>
    <t>photos/shanghai-model-009</t>
  </si>
  <si>
    <t>photos/shanghai-model-009/01.jpg</t>
  </si>
  <si>
    <t>photos/shanghai-model-009/02.jpg</t>
  </si>
  <si>
    <t>photos/shanghai-model-009/03.jpg</t>
  </si>
  <si>
    <t>photos/shanghai-model-009/profile.mp4</t>
  </si>
  <si>
    <t>https://hqq2.com/shanghai/model-009/</t>
  </si>
  <si>
    <t>010</t>
  </si>
  <si>
    <t>model-010</t>
  </si>
  <si>
    <t>上海外围模特西西</t>
  </si>
  <si>
    <t>上海外围｜上海大学生外围｜上海高端外围</t>
  </si>
  <si>
    <r>
      <rPr>
        <sz val="10"/>
        <color rgb="FF2B2424"/>
        <rFont val="宋体"/>
        <charset val="134"/>
      </rPr>
      <t>身高：175 年龄</t>
    </r>
    <r>
      <rPr>
        <sz val="10"/>
        <color rgb="FF2B2424"/>
        <rFont val="Arial"/>
        <charset val="134"/>
      </rPr>
      <t>23</t>
    </r>
    <r>
      <rPr>
        <sz val="10"/>
        <color rgb="FF2B2424"/>
        <rFont val="宋体"/>
        <charset val="134"/>
      </rPr>
      <t xml:space="preserve">
体重：48kg胸围：真🐻E      </t>
    </r>
  </si>
  <si>
    <t>都会</t>
  </si>
  <si>
    <r>
      <rPr>
        <sz val="10"/>
        <color rgb="FF2B2424"/>
        <rFont val="宋体"/>
        <charset val="134"/>
      </rPr>
      <t>偶尔兼职</t>
    </r>
    <r>
      <rPr>
        <sz val="10"/>
        <color rgb="FF2B2424"/>
        <rFont val="Arial"/>
        <charset val="134"/>
      </rPr>
      <t xml:space="preserve"> </t>
    </r>
    <r>
      <rPr>
        <sz val="10"/>
        <color rgb="FF2B2424"/>
        <rFont val="宋体"/>
        <charset val="134"/>
      </rPr>
      <t>无纹身</t>
    </r>
    <r>
      <rPr>
        <sz val="10"/>
        <color rgb="FF2B2424"/>
        <rFont val="Arial"/>
        <charset val="134"/>
      </rPr>
      <t> </t>
    </r>
    <r>
      <rPr>
        <sz val="10"/>
        <color rgb="FF2B2424"/>
        <rFont val="宋体"/>
        <charset val="134"/>
      </rPr>
      <t>不抽烟喝酒</t>
    </r>
  </si>
  <si>
    <t>如需咨询广州外围女模特相关问题，如：预约、价格、服务等请联系我们！</t>
  </si>
  <si>
    <t>photos/shanghai-model-010</t>
  </si>
  <si>
    <t>photos/shanghai-model-010/01.jpg</t>
  </si>
  <si>
    <t>photos/shanghai-model-010/02.jpg</t>
  </si>
  <si>
    <t>photos/shanghai-model-010/03.jpg</t>
  </si>
  <si>
    <t>photos/shanghai-model-010/profile.mp4</t>
  </si>
  <si>
    <t>https://hqq2.com/shanghai/model-010/</t>
  </si>
  <si>
    <t>广州</t>
  </si>
  <si>
    <t>guangzhou</t>
  </si>
  <si>
    <t>广州外围模特老师</t>
  </si>
  <si>
    <t>广州外围｜广州商务模特｜广州外围模特</t>
  </si>
  <si>
    <t>02年 身高170 胸围D</t>
  </si>
  <si>
    <t>雅致</t>
  </si>
  <si>
    <t>真实美术老师  双一流大学毕业生 • 气质女神 高级感十足 超高修养
• 欧美身材 肥乳蜜桃臀🍑  性感尤物 皮肤嫩滑超级软糯 
• 性格热情声音温柔 内外兼修 无风尘气息</t>
  </si>
  <si>
    <t>欢迎关注收藏顶奢外围平台！本页面只是为用户提供关注的广州外围女模特的相关信息，不保证此广州外围女模特时效性，想了解更多类型广州外围女模特资讯请联系我们加入会员后获取，望理解！</t>
  </si>
  <si>
    <t>photos/guangzhou-model-001</t>
  </si>
  <si>
    <t>photos/guangzhou-model-001/01.jpg</t>
  </si>
  <si>
    <t>photos/guangzhou-model-001/02.jpg</t>
  </si>
  <si>
    <t>photos/guangzhou-model-001/03.jpg</t>
  </si>
  <si>
    <t>photos/guangzhou-model-001/profile.mp4</t>
  </si>
  <si>
    <t>https://hqq2.com/guangzhou/model-001/</t>
  </si>
  <si>
    <t>广州外围模特小雨</t>
  </si>
  <si>
    <t>广州外围 ｜广州外围女｜广州外围女联系方式</t>
  </si>
  <si>
    <r>
      <rPr>
        <sz val="10"/>
        <color rgb="FF2B2424"/>
        <rFont val="宋体"/>
        <charset val="134"/>
      </rPr>
      <t>05年</t>
    </r>
    <r>
      <rPr>
        <sz val="10"/>
        <color rgb="FF2B2424"/>
        <rFont val="Arial"/>
        <charset val="134"/>
      </rPr>
      <t xml:space="preserve"> </t>
    </r>
    <r>
      <rPr>
        <sz val="10"/>
        <color rgb="FF2B2424"/>
        <rFont val="宋体"/>
        <charset val="134"/>
      </rPr>
      <t>身高</t>
    </r>
    <r>
      <rPr>
        <sz val="10"/>
        <color rgb="FF2B2424"/>
        <rFont val="Arial"/>
        <charset val="134"/>
      </rPr>
      <t>170 </t>
    </r>
  </si>
  <si>
    <t>小纯</t>
  </si>
  <si>
    <r>
      <rPr>
        <sz val="10"/>
        <color rgb="FF2B2424"/>
        <rFont val="宋体"/>
        <charset val="134"/>
      </rPr>
      <t>极品白小纯 刚下氵
🌸温柔乖巧•你的初恋女友
🌸可甜可盐•A4腰  肌肤雪白嫩滑</t>
    </r>
    <r>
      <rPr>
        <sz val="10"/>
        <color rgb="FF2B2424"/>
        <rFont val="Arial"/>
        <charset val="134"/>
      </rPr>
      <t xml:space="preserve"> </t>
    </r>
    <r>
      <rPr>
        <sz val="10"/>
        <color rgb="FF2B2424"/>
        <rFont val="宋体"/>
        <charset val="134"/>
      </rPr>
      <t>刚毕业学生兼职</t>
    </r>
  </si>
  <si>
    <t>photos/guangzhou-model-002</t>
  </si>
  <si>
    <t>photos/guangzhou-model-002/01.jpg</t>
  </si>
  <si>
    <t>photos/guangzhou-model-002/02.jpg</t>
  </si>
  <si>
    <t>photos/guangzhou-model-002/03.jpg</t>
  </si>
  <si>
    <t>photos/guangzhou-model-002/profile.mp4</t>
  </si>
  <si>
    <t>https://hqq2.com/guangzhou/model-002/</t>
  </si>
  <si>
    <t>广州外围模特喵喵</t>
  </si>
  <si>
    <t>广州外围｜广州天河外围｜广州外围上门</t>
  </si>
  <si>
    <t>175cm 47KG 胸D 03年 </t>
  </si>
  <si>
    <t>❏ 颜值气质极佳，前凸后翘    
❏ 常年瑜伽  身体柔软  颜值顶美
❏ 高配合度 🔥绝佳 短期停留拍摄
⚠️ 真人真照</t>
  </si>
  <si>
    <t>photos/guangzhou-model-003</t>
  </si>
  <si>
    <t>photos/guangzhou-model-003/01.jpg</t>
  </si>
  <si>
    <t>photos/guangzhou-model-003/02.jpg</t>
  </si>
  <si>
    <t>photos/guangzhou-model-003/03.jpg</t>
  </si>
  <si>
    <t>photos/guangzhou-model-003/profile.mp4</t>
  </si>
  <si>
    <t>https://hqq2.com/guangzhou/model-003/</t>
  </si>
  <si>
    <t>广州外围模特凯莉</t>
  </si>
  <si>
    <t>广州外围｜广州高端外围｜广州上门服务</t>
  </si>
  <si>
    <t>身高178 胸c</t>
  </si>
  <si>
    <t>典雅</t>
  </si>
  <si>
    <t>💗举手投足有韵味, 一般女人学不会
💗小腰细细 身怀绝技
🫦性格好, 服务好</t>
  </si>
  <si>
    <t>photos/guangzhou-model-004</t>
  </si>
  <si>
    <t>photos/guangzhou-model-004/01.jpg</t>
  </si>
  <si>
    <t>photos/guangzhou-model-004/02.jpg</t>
  </si>
  <si>
    <t>photos/guangzhou-model-004/03.jpg</t>
  </si>
  <si>
    <t>photos/guangzhou-model-004/profile.mp4</t>
  </si>
  <si>
    <t>https://hqq2.com/guangzhou/model-004/</t>
  </si>
  <si>
    <t>广州外围模特秋秋</t>
  </si>
  <si>
    <t>广州外围｜广州怎么找外围｜广州外围资源</t>
  </si>
  <si>
    <t>身高/178• 𝐀𝐠𝐞年龄 / 06
胸围/ D  体重/95</t>
  </si>
  <si>
    <t>顶级超模兼职🦜
蜜桃臀/马甲线/水蛇腰 有舞蹈功底 身体柔软 各种姿势配合到位
长腿细腰 皮肤雪白嫩无纹身
外出内骚 主动热情 耐心不催 五星好评选手
约到就是捡到宝 圈外女孩子 佛系工作 约</t>
  </si>
  <si>
    <t>photos/guangzhou-model-005</t>
  </si>
  <si>
    <t>photos/guangzhou-model-005/01.jpg</t>
  </si>
  <si>
    <t>photos/guangzhou-model-005/02.jpg</t>
  </si>
  <si>
    <t>photos/guangzhou-model-005/03.jpg</t>
  </si>
  <si>
    <t>photos/guangzhou-model-005/profile.mp4</t>
  </si>
  <si>
    <t>https://hqq2.com/guangzhou/model-005/</t>
  </si>
  <si>
    <t>广州外围模特林西西</t>
  </si>
  <si>
    <t>广州外围｜广州上门服务｜广州外围工作室</t>
  </si>
  <si>
    <t>176 D</t>
  </si>
  <si>
    <t>EQ IQ双高 颜值爆表 大眼小脸 窄身修长
白雪肌透亮反光板  筷子腿  杨柳腰  
无论是私人约会 还是商务招待 均最佳优选</t>
  </si>
  <si>
    <t>photos/guangzhou-model-006</t>
  </si>
  <si>
    <t>photos/guangzhou-model-006/01.jpg</t>
  </si>
  <si>
    <t>photos/guangzhou-model-006/02.jpg</t>
  </si>
  <si>
    <t>photos/guangzhou-model-006/03.jpg</t>
  </si>
  <si>
    <t>photos/guangzhou-model-006/profile.mp4</t>
  </si>
  <si>
    <t>https://hqq2.com/guangzhou/model-006/</t>
  </si>
  <si>
    <t>广州外围模特舒舒</t>
  </si>
  <si>
    <t>广州外围｜广州外围女｜广州高端模特预约</t>
  </si>
  <si>
    <r>
      <rPr>
        <sz val="10"/>
        <color rgb="FF2B2424"/>
        <rFont val="宋体"/>
        <charset val="134"/>
      </rPr>
      <t>净身高 180 D 体重</t>
    </r>
    <r>
      <rPr>
        <sz val="10"/>
        <color rgb="FF2B2424"/>
        <rFont val="Arial"/>
        <charset val="134"/>
      </rPr>
      <t>95</t>
    </r>
    <r>
      <rPr>
        <sz val="10"/>
        <color rgb="FF2B2424"/>
        <rFont val="宋体"/>
        <charset val="134"/>
      </rPr>
      <t>斤</t>
    </r>
  </si>
  <si>
    <t>夏日里的一抹清风 画中仙 梦中人
女友 feel毫无风尘气 有耐心懂人情招待佳选
古装剧演员 曾为多名大咖替身拍戏
实习主持人 正经乖乖女 高素质</t>
  </si>
  <si>
    <t>photos/guangzhou-model-007</t>
  </si>
  <si>
    <t>photos/guangzhou-model-007/01.jpg</t>
  </si>
  <si>
    <t>photos/guangzhou-model-007/02.jpg</t>
  </si>
  <si>
    <t>photos/guangzhou-model-007/03.jpg</t>
  </si>
  <si>
    <t>photos/guangzhou-model-007/profile.mp4</t>
  </si>
  <si>
    <t>https://hqq2.com/guangzhou/model-007/</t>
  </si>
  <si>
    <t>广州外围模特小雅</t>
  </si>
  <si>
    <t>广州外围｜广州外围模特预约｜广州学生外围</t>
  </si>
  <si>
    <r>
      <rPr>
        <sz val="10"/>
        <color rgb="FF2B2424"/>
        <rFont val="宋体"/>
        <charset val="134"/>
      </rPr>
      <t>身高172 </t>
    </r>
    <r>
      <rPr>
        <sz val="10"/>
        <color rgb="FF2B2424"/>
        <rFont val="Arial"/>
        <charset val="134"/>
      </rPr>
      <t xml:space="preserve">D </t>
    </r>
    <r>
      <rPr>
        <sz val="10"/>
        <color rgb="FF2B2424"/>
        <rFont val="宋体"/>
        <charset val="134"/>
      </rPr>
      <t>体重</t>
    </r>
    <r>
      <rPr>
        <sz val="10"/>
        <color rgb="FF2B2424"/>
        <rFont val="Arial"/>
        <charset val="134"/>
      </rPr>
      <t>49 kg</t>
    </r>
  </si>
  <si>
    <r>
      <rPr>
        <sz val="10"/>
        <color rgb="FF2B2424"/>
        <rFont val="宋体"/>
        <charset val="134"/>
      </rPr>
      <t>学生兼职</t>
    </r>
    <r>
      <rPr>
        <sz val="10"/>
        <color rgb="FF2B2424"/>
        <rFont val="Arial"/>
        <charset val="134"/>
      </rPr>
      <t xml:space="preserve">  </t>
    </r>
    <r>
      <rPr>
        <sz val="10"/>
        <color rgb="FF2B2424"/>
        <rFont val="宋体"/>
        <charset val="134"/>
      </rPr>
      <t>活泼可爱</t>
    </r>
    <r>
      <rPr>
        <sz val="10"/>
        <color rgb="FF2B2424"/>
        <rFont val="Arial"/>
        <charset val="134"/>
      </rPr>
      <t> </t>
    </r>
    <r>
      <rPr>
        <sz val="10"/>
        <color rgb="FF2B2424"/>
        <rFont val="宋体"/>
        <charset val="134"/>
      </rPr>
      <t>主动大方</t>
    </r>
    <r>
      <rPr>
        <sz val="10"/>
        <color rgb="FF2B2424"/>
        <rFont val="Arial"/>
        <charset val="134"/>
      </rPr>
      <t xml:space="preserve"> 
</t>
    </r>
    <r>
      <rPr>
        <sz val="10"/>
        <color rgb="FF2B2424"/>
        <rFont val="宋体"/>
        <charset val="134"/>
      </rPr>
      <t>上下粉</t>
    </r>
    <r>
      <rPr>
        <sz val="10"/>
        <color rgb="FF2B2424"/>
        <rFont val="Arial"/>
        <charset val="134"/>
      </rPr>
      <t> </t>
    </r>
    <r>
      <rPr>
        <sz val="10"/>
        <color rgb="FF2B2424"/>
        <rFont val="宋体"/>
        <charset val="134"/>
      </rPr>
      <t>全身紧致</t>
    </r>
    <r>
      <rPr>
        <sz val="10"/>
        <color rgb="FF2B2424"/>
        <rFont val="Arial"/>
        <charset val="134"/>
      </rPr>
      <t> </t>
    </r>
    <r>
      <rPr>
        <sz val="10"/>
        <color rgb="FF2B2424"/>
        <rFont val="宋体"/>
        <charset val="134"/>
      </rPr>
      <t>少女感满满</t>
    </r>
    <r>
      <rPr>
        <sz val="10"/>
        <color rgb="FF2B2424"/>
        <rFont val="Arial"/>
        <charset val="134"/>
      </rPr>
      <t>  </t>
    </r>
    <r>
      <rPr>
        <sz val="10"/>
        <color rgb="FF2B2424"/>
        <rFont val="宋体"/>
        <charset val="134"/>
      </rPr>
      <t>只接素质哥哥</t>
    </r>
    <r>
      <rPr>
        <sz val="10"/>
        <color rgb="FF2B2424"/>
        <rFont val="Arial"/>
        <charset val="134"/>
      </rPr>
      <t> </t>
    </r>
  </si>
  <si>
    <t>photos/guangzhou-model-008</t>
  </si>
  <si>
    <t>photos/guangzhou-model-008/01.jpg</t>
  </si>
  <si>
    <t>photos/guangzhou-model-008/02.jpg</t>
  </si>
  <si>
    <t>photos/guangzhou-model-008/03.jpg</t>
  </si>
  <si>
    <t>photos/guangzhou-model-008/profile.mp4</t>
  </si>
  <si>
    <t>https://hqq2.com/guangzhou/model-008/</t>
  </si>
  <si>
    <t>广州外围模特林晚</t>
  </si>
  <si>
    <t>广州外围｜广州外围经纪｜广州外围资源</t>
  </si>
  <si>
    <r>
      <rPr>
        <sz val="10"/>
        <color rgb="FF2B2424"/>
        <rFont val="宋体"/>
        <charset val="134"/>
      </rPr>
      <t>05年</t>
    </r>
    <r>
      <rPr>
        <sz val="10"/>
        <color rgb="FF2B2424"/>
        <rFont val="Arial"/>
        <charset val="134"/>
      </rPr>
      <t xml:space="preserve"> </t>
    </r>
    <r>
      <rPr>
        <sz val="10"/>
        <color rgb="FF2B2424"/>
        <rFont val="宋体"/>
        <charset val="134"/>
      </rPr>
      <t>168D 45kg </t>
    </r>
  </si>
  <si>
    <t>牛奶雪白肌 A4腰 无纹身</t>
  </si>
  <si>
    <t>photos/guangzhou-model-009</t>
  </si>
  <si>
    <t>photos/guangzhou-model-009/01.jpg</t>
  </si>
  <si>
    <t>photos/guangzhou-model-009/02.jpg</t>
  </si>
  <si>
    <t>photos/guangzhou-model-009/03.jpg</t>
  </si>
  <si>
    <t>photos/guangzhou-model-009/profile.mp4</t>
  </si>
  <si>
    <t>https://hqq2.com/guangzhou/model-009/</t>
  </si>
  <si>
    <t>广州外围模特羽莱</t>
  </si>
  <si>
    <t>广州外围｜广州女大学生外围｜广州高端外围</t>
  </si>
  <si>
    <t>身高170 体重90 罩杯D 05年</t>
  </si>
  <si>
    <t>肤白貌美A4腰  温柔气质水多多 不催不事 服务体贴  三点粉嫩  只接待素质援助</t>
  </si>
  <si>
    <t>photos/guangzhou-model-010</t>
  </si>
  <si>
    <t>photos/guangzhou-model-010/01.jpg</t>
  </si>
  <si>
    <t>photos/guangzhou-model-010/02.jpg</t>
  </si>
  <si>
    <t>photos/guangzhou-model-010/03.jpg</t>
  </si>
  <si>
    <t>photos/guangzhou-model-010/profile.mp4</t>
  </si>
  <si>
    <t>https://hqq2.com/guangzhou/model-010/</t>
  </si>
  <si>
    <t>深圳</t>
  </si>
  <si>
    <t>shenzhen</t>
  </si>
  <si>
    <t>深圳外围模特媛媛</t>
  </si>
  <si>
    <t>深圳外围｜深圳商务模特｜深圳外围模特</t>
  </si>
  <si>
    <r>
      <rPr>
        <sz val="10"/>
        <color rgb="FF2B2424"/>
        <rFont val="宋体"/>
        <charset val="134"/>
      </rPr>
      <t>身高：</t>
    </r>
    <r>
      <rPr>
        <sz val="10"/>
        <color rgb="FF2B2424"/>
        <rFont val="Arial"/>
        <charset val="134"/>
      </rPr>
      <t>170</t>
    </r>
    <r>
      <rPr>
        <sz val="10"/>
        <color rgb="FF2B2424"/>
        <rFont val="宋体"/>
        <charset val="134"/>
      </rPr>
      <t xml:space="preserve">
年龄：21
体重:45kg
胸:C</t>
    </r>
  </si>
  <si>
    <t>(纯圈外兼职 提前预约)
(真实芭蕾舞生💃体验感超棒 💯）</t>
  </si>
  <si>
    <t>如需咨询深圳外围女模特相关问题，如：预约、价格、服务等请联系我们！</t>
  </si>
  <si>
    <t>欢迎关注收藏顶奢外围平台！本页面只是为用户提供关注的深圳外围女模特的相关信息，不保证此深圳外围女模特时效性，想了解更多类型深圳外围女模特资讯请联系我们加入会员后获取，望理解！</t>
  </si>
  <si>
    <t>photos/shenzhen-model-001</t>
  </si>
  <si>
    <t>photos/shenzhen-model-001/01.jpg</t>
  </si>
  <si>
    <t>photos/shenzhen-model-001/02.jpg</t>
  </si>
  <si>
    <t>photos/shenzhen-model-001/03.jpg</t>
  </si>
  <si>
    <t>photos/shenzhen-model-001/profile.mp4</t>
  </si>
  <si>
    <t>https://hqq2.com/shenzhen/model-001/</t>
  </si>
  <si>
    <t>深圳外围模特懒咩咩</t>
  </si>
  <si>
    <t>深圳外围 ｜深圳外围女｜深圳外围女联系方式</t>
  </si>
  <si>
    <t>05年 168E 胸围98 腰围59 臀围106</t>
  </si>
  <si>
    <r>
      <rPr>
        <sz val="10"/>
        <color rgb="FF2B2424"/>
        <rFont val="宋体"/>
        <charset val="134"/>
      </rPr>
      <t> 随缘.卦象生財/预约制低素质勿扰</t>
    </r>
    <r>
      <rPr>
        <sz val="10"/>
        <color rgb="FF2B2424"/>
        <rFont val="Arial"/>
        <charset val="134"/>
      </rPr>
      <t xml:space="preserve"> </t>
    </r>
    <r>
      <rPr>
        <sz val="10"/>
        <color rgb="FF2B2424"/>
        <rFont val="宋体"/>
        <charset val="134"/>
      </rPr>
      <t>人美声甜</t>
    </r>
    <r>
      <rPr>
        <sz val="10"/>
        <color rgb="FF2B2424"/>
        <rFont val="Arial"/>
        <charset val="134"/>
      </rPr>
      <t> </t>
    </r>
    <r>
      <rPr>
        <sz val="10"/>
        <color rgb="FF2B2424"/>
        <rFont val="宋体"/>
        <charset val="134"/>
      </rPr>
      <t>上下粉嫩</t>
    </r>
    <r>
      <rPr>
        <sz val="10"/>
        <color rgb="FF2B2424"/>
        <rFont val="Arial"/>
        <charset val="134"/>
      </rPr>
      <t> </t>
    </r>
    <r>
      <rPr>
        <sz val="10"/>
        <color rgb="FF2B2424"/>
        <rFont val="宋体"/>
        <charset val="134"/>
      </rPr>
      <t>馒头一线天❄</t>
    </r>
    <r>
      <rPr>
        <sz val="10"/>
        <color rgb="FF2B2424"/>
        <rFont val="Arial"/>
        <charset val="134"/>
      </rPr>
      <t>️</t>
    </r>
  </si>
  <si>
    <t>photos/shenzhen-model-002</t>
  </si>
  <si>
    <t>photos/shenzhen-model-002/01.jpg</t>
  </si>
  <si>
    <t>photos/shenzhen-model-002/02.jpg</t>
  </si>
  <si>
    <t>photos/shenzhen-model-002/03.jpg</t>
  </si>
  <si>
    <t>photos/shenzhen-model-002/profile.mp4</t>
  </si>
  <si>
    <t>https://hqq2.com/shenzhen/model-002/</t>
  </si>
  <si>
    <t>深圳外围模特汤晨</t>
  </si>
  <si>
    <t>深圳外围｜深圳福田区外围｜深圳外围上门</t>
  </si>
  <si>
    <r>
      <rPr>
        <sz val="10"/>
        <color rgb="FF2B2424"/>
        <rFont val="宋体"/>
        <charset val="134"/>
      </rPr>
      <t>04年</t>
    </r>
    <r>
      <rPr>
        <sz val="10"/>
        <color rgb="FF2B2424"/>
        <rFont val="Arial"/>
        <charset val="134"/>
      </rPr>
      <t xml:space="preserve"> </t>
    </r>
    <r>
      <rPr>
        <sz val="10"/>
        <color rgb="FF2B2424"/>
        <rFont val="宋体"/>
        <charset val="134"/>
      </rPr>
      <t xml:space="preserve">170cm 48kg️D 腰围 58 臀围98 </t>
    </r>
  </si>
  <si>
    <r>
      <rPr>
        <sz val="10"/>
        <color rgb="FF2B2424"/>
        <rFont val="宋体"/>
        <charset val="134"/>
      </rPr>
      <t>翘臀 筷子腿全身雪白无瑕疵 无纹身可欲可纯 天然无整有趣的灵魂
黄金比例 气质女神款</t>
    </r>
    <r>
      <rPr>
        <sz val="10"/>
        <color rgb="FF2B2424"/>
        <rFont val="Arial"/>
        <charset val="134"/>
      </rPr>
      <t xml:space="preserve"> </t>
    </r>
    <r>
      <rPr>
        <sz val="10"/>
        <color rgb="FF2B2424"/>
        <rFont val="宋体"/>
        <charset val="134"/>
      </rPr>
      <t>你初恋般的浪漫感觉 0差评 只见高素质
北京舞蹈学院可解锁任意高难度爱好 高尔夫插花 绘画 烹饪
天秤座 爱笑的甜美女孩温柔迷人优雅</t>
    </r>
  </si>
  <si>
    <t>photos/shenzhen-model-003</t>
  </si>
  <si>
    <t>photos/shenzhen-model-003/01.jpg</t>
  </si>
  <si>
    <t>photos/shenzhen-model-003/02.jpg</t>
  </si>
  <si>
    <t>photos/shenzhen-model-003/03.jpg</t>
  </si>
  <si>
    <t>photos/shenzhen-model-003/profile.mp4</t>
  </si>
  <si>
    <t>https://hqq2.com/shenzhen/model-003/</t>
  </si>
  <si>
    <t>深圳外围模特鹿鹿</t>
  </si>
  <si>
    <t>深圳外围｜深圳南山区外围｜深圳上门服务</t>
  </si>
  <si>
    <t>身高/净高170 体重/95 胸围/E 年龄/02</t>
  </si>
  <si>
    <t>Hobby兴趣/健身画画瑜伽可素颜可视频验证皮肤极品</t>
  </si>
  <si>
    <t>photos/shenzhen-model-004</t>
  </si>
  <si>
    <t>photos/shenzhen-model-004/01.jpg</t>
  </si>
  <si>
    <t>photos/shenzhen-model-004/02.jpg</t>
  </si>
  <si>
    <t>photos/shenzhen-model-004/03.jpg</t>
  </si>
  <si>
    <t>photos/shenzhen-model-004/profile.mp4</t>
  </si>
  <si>
    <t>https://hqq2.com/shenzhen/model-004/</t>
  </si>
  <si>
    <t>深圳外围模特苏苏</t>
  </si>
  <si>
    <t>深圳外围｜深圳怎么找外围｜深圳外围资源</t>
  </si>
  <si>
    <t>身高175  体重105 胸围D 年龄00</t>
  </si>
  <si>
    <t>通体雪白 新加坡留学生 
擅长高尔夫 瑜伽 滑雪 潜水 
新人小范围预约  只见高素质 🌹🌹</t>
  </si>
  <si>
    <t>photos/shenzhen-model-005</t>
  </si>
  <si>
    <t>photos/shenzhen-model-005/01.jpg</t>
  </si>
  <si>
    <t>photos/shenzhen-model-005/02.jpg</t>
  </si>
  <si>
    <t>photos/shenzhen-model-005/03.jpg</t>
  </si>
  <si>
    <t>photos/shenzhen-model-005/profile.mp4</t>
  </si>
  <si>
    <t>https://hqq2.com/shenzhen/model-005/</t>
  </si>
  <si>
    <t>深圳外围模特兮兮</t>
  </si>
  <si>
    <t>深圳外围｜深圳上门服务｜深圳外围工作室</t>
  </si>
  <si>
    <t>身高：173 年龄：06 胸：c 体重：97</t>
  </si>
  <si>
    <r>
      <rPr>
        <sz val="10"/>
        <color rgb="FF2B2424"/>
        <rFont val="宋体"/>
        <charset val="134"/>
      </rPr>
      <t>✦天然冷白皮  纯新人兼职 只接待素质哥哥🧍</t>
    </r>
    <r>
      <rPr>
        <sz val="10"/>
        <color rgb="FF2B2424"/>
        <rFont val="Times New Roman"/>
        <charset val="134"/>
      </rPr>
      <t>‍</t>
    </r>
    <r>
      <rPr>
        <sz val="10"/>
        <color rgb="FF2B2424"/>
        <rFont val="宋体"/>
        <charset val="134"/>
      </rPr>
      <t>♂️
✦真实无整容
✦人美肌肤白如雪 无风尘气息 
✦圈外小白花 即见即所得 纯天然0整
✦请你尽兴点 人生就是场体验</t>
    </r>
  </si>
  <si>
    <t>photos/shenzhen-model-006</t>
  </si>
  <si>
    <t>photos/shenzhen-model-006/01.jpg</t>
  </si>
  <si>
    <t>photos/shenzhen-model-006/02.jpg</t>
  </si>
  <si>
    <t>photos/shenzhen-model-006/03.jpg</t>
  </si>
  <si>
    <t>photos/shenzhen-model-006/profile.mp4</t>
  </si>
  <si>
    <t>https://hqq2.com/shenzhen/model-006/</t>
  </si>
  <si>
    <t>深圳外围模特桐丫丫</t>
  </si>
  <si>
    <t>深圳外围｜深圳外围女｜深圳高端模特预约</t>
  </si>
  <si>
    <t>•身高/175
•体重/100
•胸围/D 年龄/03</t>
  </si>
  <si>
    <t>• 𝐎𝐜𝐜𝐮𝐩𝐚𝐭𝐢𝐨𝐧职业/平面模特
   前凸后翘漫画比例 逆天大长腿 氛围感美少女
💟純御百搭💟浙江人</t>
  </si>
  <si>
    <t>photos/shenzhen-model-007</t>
  </si>
  <si>
    <t>photos/shenzhen-model-007/01.jpg</t>
  </si>
  <si>
    <t>photos/shenzhen-model-007/02.jpg</t>
  </si>
  <si>
    <t>photos/shenzhen-model-007/03.jpg</t>
  </si>
  <si>
    <t>photos/shenzhen-model-007/profile.mp4</t>
  </si>
  <si>
    <t>https://hqq2.com/shenzhen/model-007/</t>
  </si>
  <si>
    <t>深圳外围模特拉拉</t>
  </si>
  <si>
    <t>深圳外围｜深圳外围模特预约｜深圳学生外围</t>
  </si>
  <si>
    <t>173F、01年留学生</t>
  </si>
  <si>
    <t>御姐</t>
  </si>
  <si>
    <t>真实0整，酒窝美女，素颜天菜，无妆感
腿，A4腰，浑身雪白，极品身材高学历，态度好，素质高
校园初恋类型，性格nice，温柔解语花 希望 
我能在这个炎热的夏天，带给你一种清爽的感觉</t>
  </si>
  <si>
    <t>photos/shenzhen-model-008</t>
  </si>
  <si>
    <t>photos/shenzhen-model-008/01.jpg</t>
  </si>
  <si>
    <t>photos/shenzhen-model-008/02.jpg</t>
  </si>
  <si>
    <t>photos/shenzhen-model-008/03.jpg</t>
  </si>
  <si>
    <t>photos/shenzhen-model-008/profile.mp4</t>
  </si>
  <si>
    <t>https://hqq2.com/shenzhen/model-008/</t>
  </si>
  <si>
    <t>深圳外围模特醒醒</t>
  </si>
  <si>
    <t>深圳外围｜深圳外围经纪｜深圳外围资源</t>
  </si>
  <si>
    <r>
      <rPr>
        <sz val="10"/>
        <color rgb="FF2B2424"/>
        <rFont val="宋体"/>
        <charset val="134"/>
      </rPr>
      <t>03年 170D➕</t>
    </r>
    <r>
      <rPr>
        <sz val="10"/>
        <color rgb="FF2B2424"/>
        <rFont val="Arial"/>
        <charset val="134"/>
      </rPr>
      <t xml:space="preserve"> </t>
    </r>
    <r>
      <rPr>
        <sz val="10"/>
        <color rgb="FF2B2424"/>
        <rFont val="宋体"/>
        <charset val="134"/>
      </rPr>
      <t>45Kg</t>
    </r>
  </si>
  <si>
    <t>巴掌腰 🥢筷子腿 
皮肤超嫩 🍑小翘臀 无纹身 
洋气精致南方妹妹</t>
  </si>
  <si>
    <t>photos/shenzhen-model-009</t>
  </si>
  <si>
    <t>photos/shenzhen-model-009/01.jpg</t>
  </si>
  <si>
    <t>photos/shenzhen-model-009/02.jpg</t>
  </si>
  <si>
    <t>photos/shenzhen-model-009/03.jpg</t>
  </si>
  <si>
    <t>photos/shenzhen-model-009/profile.mp4</t>
  </si>
  <si>
    <t>https://hqq2.com/shenzhen/model-009/</t>
  </si>
  <si>
    <t>深圳外围模特山山</t>
  </si>
  <si>
    <t>深圳外围｜深圳女大学生外围｜深圳高端外围</t>
  </si>
  <si>
    <t>淨172 体重98 胸C 03</t>
  </si>
  <si>
    <t>清纯0整，只期待有缘人
低素质勿扰
SZ💌深大畢業生🎓.</t>
  </si>
  <si>
    <t>photos/shenzhen-model-010</t>
  </si>
  <si>
    <t>photos/shenzhen-model-010/01.jpg</t>
  </si>
  <si>
    <t>photos/shenzhen-model-010/02.jpg</t>
  </si>
  <si>
    <t>photos/shenzhen-model-010/03.jpg</t>
  </si>
  <si>
    <t>photos/shenzhen-model-010/profile.mp4</t>
  </si>
  <si>
    <t>https://hqq2.com/shenzhen/model-010/</t>
  </si>
  <si>
    <t>北京</t>
  </si>
  <si>
    <t>beijing</t>
  </si>
  <si>
    <t>北京外围小萝莉</t>
  </si>
  <si>
    <t>北京外围｜北京商务模特｜北京外围模特</t>
  </si>
  <si>
    <t xml:space="preserve">🦋年龄: 18
🦋胸 ： C
🦋身高：158
🦋体重：40kg
</t>
  </si>
  <si>
    <t>萝莉｜白虎</t>
  </si>
  <si>
    <t xml:space="preserve">🦋无纹身 不🚬不🍷极品萝莉 白虎
🦋第一次下海只与男朋友做过 南方人大一学生 
🦋小巧玲珑原生脸全身无整 三点粉嫩 水很多 配合度情绪价值拉满 非常放的开
很庆幸认识您 希望能一直陪伴到您 </t>
  </si>
  <si>
    <t>如需咨询北京外围女模特相关问题，如：预约、价格、服务等请联系我们！</t>
  </si>
  <si>
    <t>欢迎关注收藏顶奢外围平台！本页面只是为用户提供关注的北京外围女模特的相关信息，不保证此北京外围女模特时效性，想了解更多类型北京外围女模特资讯请联系我们加入会员后获取，望理解！</t>
  </si>
  <si>
    <t>photos/beijing-model-001</t>
  </si>
  <si>
    <t>photos/beijing-model-001/01.jpg</t>
  </si>
  <si>
    <t>photos/beijing-model-001/02.jpg</t>
  </si>
  <si>
    <t>photos/beijing-model-001/03.jpg</t>
  </si>
  <si>
    <t>photos/beijing-model-001/profile.mp4</t>
  </si>
  <si>
    <t>https://hqq2.com/beijing/model-001/</t>
  </si>
  <si>
    <t>北京外围兼职学妹</t>
  </si>
  <si>
    <t>北京外围｜北京外围女｜北京外围女联系方式</t>
  </si>
  <si>
    <t>·年龄: 06年 
·体重:42kg
·身高: 173cm
·胸围: C</t>
  </si>
  <si>
    <t>清纯｜学妹</t>
  </si>
  <si>
    <t>温柔气质纯天然无整容
干净而纯粹的白·简单又纯净
无纹身 不抽烟 A4腰·纤长细腿·黄金比例温柔·清纯·高级·气质温婉
一个心中有梦 眼里有光的女孩</t>
  </si>
  <si>
    <t>photos/beijing-model-002</t>
  </si>
  <si>
    <t>photos/beijing-model-002/01.jpg</t>
  </si>
  <si>
    <t>photos/beijing-model-002/02.jpg</t>
  </si>
  <si>
    <t>photos/beijing-model-002/03.jpg</t>
  </si>
  <si>
    <t>photos/beijing-model-002/profile.mp4</t>
  </si>
  <si>
    <t>https://hqq2.com/beijing/model-002/</t>
  </si>
  <si>
    <t>北京外围模特御姐</t>
  </si>
  <si>
    <t>北京外围｜北京朝阳区外围｜北京外围上门</t>
  </si>
  <si>
    <t>身高173，体重105斤，胸: C，巨臀！</t>
  </si>
  <si>
    <t>刚毕业大学生新人入海
喜瘦勿扰，肉感女孩
臀控首选！！巨臀！！
回吸会夹，秦王绕柱，💦多柔软真🐻
给你初恋般的感受
可甜可骚百变小樱</t>
  </si>
  <si>
    <t>photos/beijing-model-003</t>
  </si>
  <si>
    <t>photos/beijing-model-003/01.jpg</t>
  </si>
  <si>
    <t>photos/beijing-model-003/02.jpg</t>
  </si>
  <si>
    <t>photos/beijing-model-003/03.jpg</t>
  </si>
  <si>
    <t>photos/beijing-model-003/profile.mp4</t>
  </si>
  <si>
    <t>https://hqq2.com/beijing/model-003/</t>
  </si>
  <si>
    <t>北京外围模特清新</t>
  </si>
  <si>
    <t>北京外围｜北京朝阳区外围上门｜北京上门服务</t>
  </si>
  <si>
    <r>
      <rPr>
        <sz val="10"/>
        <color rgb="FF2B2424"/>
        <rFont val="宋体"/>
        <charset val="134"/>
      </rPr>
      <t>年龄</t>
    </r>
    <r>
      <rPr>
        <sz val="10"/>
        <color rgb="FF2B2424"/>
        <rFont val="Arial"/>
        <charset val="134"/>
      </rPr>
      <t xml:space="preserve"> 07 </t>
    </r>
    <r>
      <rPr>
        <sz val="10"/>
        <color rgb="FF2B2424"/>
        <rFont val="宋体"/>
        <charset val="134"/>
      </rPr>
      <t>身高</t>
    </r>
    <r>
      <rPr>
        <sz val="10"/>
        <color rgb="FF2B2424"/>
        <rFont val="Arial"/>
        <charset val="134"/>
      </rPr>
      <t xml:space="preserve">173cm </t>
    </r>
    <r>
      <rPr>
        <sz val="10"/>
        <color rgb="FF2B2424"/>
        <rFont val="宋体"/>
        <charset val="134"/>
      </rPr>
      <t>胸围童颜天然</t>
    </r>
    <r>
      <rPr>
        <sz val="10"/>
        <color rgb="FF2B2424"/>
        <rFont val="Arial"/>
        <charset val="134"/>
      </rPr>
      <t>C</t>
    </r>
  </si>
  <si>
    <t>♽五官精致 皮肤光滑 
会舞蹈 柔韧性好 配合度高
艺术专业 审美一流 可一子马
国风美人 美在骨 美在眉眼藏诗
一颦一笑 皆东方韵味 一静一动 尽显华夏风华</t>
  </si>
  <si>
    <t>photos/beijing-model-004</t>
  </si>
  <si>
    <t>photos/beijing-model-004/01.jpg</t>
  </si>
  <si>
    <t>photos/beijing-model-004/02.jpg</t>
  </si>
  <si>
    <t>photos/beijing-model-004/03.jpg</t>
  </si>
  <si>
    <t>photos/beijing-model-004/profile.mp4</t>
  </si>
  <si>
    <t>https://hqq2.com/beijing/model-004/</t>
  </si>
  <si>
    <t>北京外围模特菲菲</t>
  </si>
  <si>
    <t>北京外围｜北京怎么找外围｜北京外围资源</t>
  </si>
  <si>
    <t>新人菲菲165 胸C 04年</t>
  </si>
  <si>
    <t>🌸艺术生，学生兼职🌸皮肤雪白 
• 三点粉嫩 🉑纯🉑御🉑甜
• 人美声甜，配合度高🔥</t>
  </si>
  <si>
    <t>photos/beijing-model-005</t>
  </si>
  <si>
    <t>photos/beijing-model-005/01.jpg</t>
  </si>
  <si>
    <t>photos/beijing-model-005/02.jpg</t>
  </si>
  <si>
    <t>photos/beijing-model-005/03.jpg</t>
  </si>
  <si>
    <t>photos/beijing-model-005/profile.mp4</t>
  </si>
  <si>
    <t>https://hqq2.com/beijing/model-005/</t>
  </si>
  <si>
    <t>北京外围模特娜美</t>
  </si>
  <si>
    <t>北京外围｜北京上门服务｜北京网红外围</t>
  </si>
  <si>
    <r>
      <rPr>
        <sz val="10"/>
        <color rgb="FF2B2424"/>
        <rFont val="宋体"/>
        <charset val="134"/>
      </rPr>
      <t>娜美</t>
    </r>
    <r>
      <rPr>
        <sz val="10"/>
        <color rgb="FF2B2424"/>
        <rFont val="Arial"/>
        <charset val="134"/>
      </rPr>
      <t xml:space="preserve">165 </t>
    </r>
    <r>
      <rPr>
        <sz val="10"/>
        <color rgb="FF2B2424"/>
        <rFont val="宋体"/>
        <charset val="134"/>
      </rPr>
      <t>胸</t>
    </r>
    <r>
      <rPr>
        <sz val="10"/>
        <color rgb="FF2B2424"/>
        <rFont val="Arial"/>
        <charset val="134"/>
      </rPr>
      <t>C 05</t>
    </r>
    <r>
      <rPr>
        <sz val="10"/>
        <color rgb="FF2B2424"/>
        <rFont val="宋体"/>
        <charset val="134"/>
      </rPr>
      <t>年</t>
    </r>
  </si>
  <si>
    <t>学生</t>
  </si>
  <si>
    <t>学生兼职
• 三点粉嫩 
• 人美声甜，配合度高🔥
• 说话甜美 本人</t>
  </si>
  <si>
    <t>photos/beijing-model-006</t>
  </si>
  <si>
    <t>photos/beijing-model-006/01.jpg</t>
  </si>
  <si>
    <t>photos/beijing-model-006/02.jpg</t>
  </si>
  <si>
    <t>photos/beijing-model-006/03.jpg</t>
  </si>
  <si>
    <t>photos/beijing-model-006/profile.mp4</t>
  </si>
  <si>
    <t>https://hqq2.com/beijing/model-006/</t>
  </si>
  <si>
    <t>北京外围模特纯欲白虎</t>
  </si>
  <si>
    <t>北京外围｜北京外围女｜北京高端模特预约</t>
  </si>
  <si>
    <t>• 𝐇𝐞𝐢𝐠𝐡𝐭身高/172
• 𝐖𝐞𝐢𝐠𝐡𝐭体重/45kg
• 𝐁𝐮𝐬𝐭胸围/🐻D
• 𝐀𝐠𝐞年龄/05年</t>
  </si>
  <si>
    <t>• 𝐒𝐩𝐞𝐜𝐢𝐚𝐥𝐢𝐭𝐲特长/声音甜美 温柔。喜欢摄影 兼职主播
♽五官精致 皮肤光滑 不是白虎都是冒牌
馒头逼 🐻挺💦多 喜欢新鲜刺激高配合
会娇喘超酥会叫爸爸 酥胸蛮腰肌肤细腻
🉑颜🉑甜，🉑纯🉑欲，全身雪白💕情趣丝袜cos</t>
  </si>
  <si>
    <t>photos/beijing-model-007</t>
  </si>
  <si>
    <t>photos/beijing-model-007/01.jpg</t>
  </si>
  <si>
    <t>photos/beijing-model-007/02.jpg</t>
  </si>
  <si>
    <t>photos/beijing-model-007/03.jpg</t>
  </si>
  <si>
    <t>photos/beijing-model-007/profile.mp4</t>
  </si>
  <si>
    <t>https://hqq2.com/beijing/model-007/</t>
  </si>
  <si>
    <t>北京外围模特纯兼职新人</t>
  </si>
  <si>
    <t>北京外围｜北京外围模特预约｜北京学生外围</t>
  </si>
  <si>
    <t>身高:172 完美天然🐻:D</t>
  </si>
  <si>
    <t>• 纯兼职 只接高素质课
• 腿长直 身材比例极好
• 超级乖 主动热情服务好
• 肌肤雪白 纯天然0整</t>
  </si>
  <si>
    <t>photos/beijing-model-008</t>
  </si>
  <si>
    <t>photos/beijing-model-008/01.jpg</t>
  </si>
  <si>
    <t>photos/beijing-model-008/02.jpg</t>
  </si>
  <si>
    <t>photos/beijing-model-008/03.jpg</t>
  </si>
  <si>
    <t>photos/beijing-model-008/profile.mp4</t>
  </si>
  <si>
    <t>https://hqq2.com/beijing/model-008/</t>
  </si>
  <si>
    <t>北京外围模特极品纯欲</t>
  </si>
  <si>
    <t>北京外围｜北京外围经纪｜北京外围资源</t>
  </si>
  <si>
    <t>• 𝐇𝐞𝐢𝐠𝐡𝐭✨身高/177体重96
• 𝐁𝐮𝐬𝐭✨胸围/D
• 𝐀𝐠𝐞✨年龄/05年</t>
  </si>
  <si>
    <t>💖颜值天花板，
💖天然真熊，前凸后翘，皮肤滑嫩
💖给你难忘的邂逅体验  ✨待客如初恋👍🏻
💖南方软妹💃服务好素质谈吐高✨
💖🉑69 🉑🐍吻 🉑车震 🉑双✈️ 
不登记不代开</t>
  </si>
  <si>
    <t>photos/beijing-model-009</t>
  </si>
  <si>
    <t>photos/beijing-model-009/01.jpg</t>
  </si>
  <si>
    <t>photos/beijing-model-009/02.jpg</t>
  </si>
  <si>
    <t>photos/beijing-model-009/03.jpg</t>
  </si>
  <si>
    <t>photos/beijing-model-009/profile.mp4</t>
  </si>
  <si>
    <t>https://hqq2.com/beijing/model-009/</t>
  </si>
  <si>
    <t>北京外围模特新人</t>
  </si>
  <si>
    <t>北京外围｜北京女大学生外围｜北京高端外围</t>
  </si>
  <si>
    <t>身高170cm
                    90斤🐻C 蜜桃臀🍑</t>
  </si>
  <si>
    <t>甜美</t>
  </si>
  <si>
    <t xml:space="preserve">体白肤滑🌸待客巨温柔，不事儿不催 全身雪白 无纹身 🉑🐍 🉑69 🉑🚗 🉑✌🏻 🉑双飞 🉑代开 🉑登记 🈲无套 🈲液体 </t>
  </si>
  <si>
    <t>photos/beijing-model-010</t>
  </si>
  <si>
    <t>photos/beijing-model-010/01.jpg</t>
  </si>
  <si>
    <t>photos/beijing-model-010/02.jpg</t>
  </si>
  <si>
    <t>photos/beijing-model-010/03.jpg</t>
  </si>
  <si>
    <t>photos/beijing-model-010/profile.mp4</t>
  </si>
  <si>
    <t>https://hqq2.com/beijing/model-010/</t>
  </si>
  <si>
    <t>杭州</t>
  </si>
  <si>
    <t>hangzhou</t>
  </si>
  <si>
    <t>杭州外围模特蜜桃</t>
  </si>
  <si>
    <t>杭州外围｜杭州商务模特｜杭州外围模特</t>
  </si>
  <si>
    <t>杭州175F 身高：175 胸围：F</t>
  </si>
  <si>
    <t>SM</t>
  </si>
  <si>
    <t>天然骨子里的骚浪贱
🉑接受客人指派任务，诸如户外露出，勾引路人司机等等。🉑轻度中度重度sm，🉑3t，🉑毒🐉。
各种专业sm道具，玩具，一些列情趣样样俱全 完全开放型选手，欢迎品鉴体验！</t>
  </si>
  <si>
    <t>如需咨询杭州外围女模特相关问题，如：预约、价格、服务等请联系我们！</t>
  </si>
  <si>
    <t>欢迎关注收藏顶奢外围平台！本页面只是为用户提供关注的杭州外围女模特的相关信息，不保证此杭州外围女模特时效性，想了解更多类型杭州外围女模特资讯请联系我们加入会员后获取，望理解！</t>
  </si>
  <si>
    <t>photos/hangzhou-model-001</t>
  </si>
  <si>
    <t>photos/hangzhou-model-001/01.jpg</t>
  </si>
  <si>
    <t>photos/hangzhou-model-001/02.jpg</t>
  </si>
  <si>
    <t>photos/hangzhou-model-001/03.jpg</t>
  </si>
  <si>
    <t>photos/hangzhou-model-001/profile.mp4</t>
  </si>
  <si>
    <t>https://hqq2.com/hangzhou/model-001/</t>
  </si>
  <si>
    <t>杭州外围模特欣儿</t>
  </si>
  <si>
    <t>杭州外围 ｜杭州外围女｜杭州外围女联系方式</t>
  </si>
  <si>
    <t>00-172-d-52kg</t>
  </si>
  <si>
    <t>❤️极致蜜桃臀 真胸d
❤️前凸后翘   纯欲韩漫ins风健身博主  瑜伽教练 淘宝健身服品牌签约模特 
兼职提前预约 不接急  素质差屌丝勿</t>
  </si>
  <si>
    <t>photos/hangzhou-model-002</t>
  </si>
  <si>
    <t>photos/hangzhou-model-002/01.jpg</t>
  </si>
  <si>
    <t>photos/hangzhou-model-002/02.jpg</t>
  </si>
  <si>
    <t>photos/hangzhou-model-002/03.jpg</t>
  </si>
  <si>
    <t>photos/hangzhou-model-002/profile.mp4</t>
  </si>
  <si>
    <t>https://hqq2.com/hangzhou/model-002/</t>
  </si>
  <si>
    <t>杭州外围模特楚楚</t>
  </si>
  <si>
    <t>杭州外围｜杭州拱墅区外围｜杭州外围上门</t>
  </si>
  <si>
    <t>170 D   ╸真 实 03</t>
  </si>
  <si>
    <r>
      <rPr>
        <sz val="10"/>
        <color rgb="FF2B2424"/>
        <rFont val="宋体"/>
        <charset val="134"/>
      </rPr>
      <t>极品天菜
只见绅士  提前预约🎫
自行车运动员</t>
    </r>
    <r>
      <rPr>
        <sz val="10"/>
        <color rgb="FF2B2424"/>
        <rFont val="Arial"/>
        <charset val="134"/>
      </rPr>
      <t xml:space="preserve"> </t>
    </r>
    <r>
      <rPr>
        <sz val="10"/>
        <color rgb="FF2B2424"/>
        <rFont val="宋体"/>
        <charset val="134"/>
      </rPr>
      <t>骑行系</t>
    </r>
    <r>
      <rPr>
        <sz val="10"/>
        <color rgb="FF2B2424"/>
        <rFont val="Arial"/>
        <charset val="134"/>
      </rPr>
      <t>🚴🏻‍♀️</t>
    </r>
    <r>
      <rPr>
        <sz val="10"/>
        <color rgb="FF2B2424"/>
        <rFont val="宋体"/>
        <charset val="134"/>
      </rPr>
      <t>旅游公</t>
    </r>
    <r>
      <rPr>
        <sz val="10"/>
        <color rgb="FF2B2424"/>
        <rFont val="Arial"/>
        <charset val="134"/>
      </rPr>
      <t>🏖️ </t>
    </r>
    <r>
      <rPr>
        <sz val="10"/>
        <color rgb="FF2B2424"/>
        <rFont val="宋体"/>
        <charset val="134"/>
      </rPr>
      <t>露营企</t>
    </r>
    <r>
      <rPr>
        <sz val="10"/>
        <color rgb="FF2B2424"/>
        <rFont val="Arial"/>
        <charset val="134"/>
      </rPr>
      <t>🏕️ </t>
    </r>
    <r>
      <rPr>
        <sz val="10"/>
        <color rgb="FF2B2424"/>
        <rFont val="宋体"/>
        <charset val="134"/>
      </rPr>
      <t>户外⛺</t>
    </r>
    <r>
      <rPr>
        <sz val="10"/>
        <color rgb="FF2B2424"/>
        <rFont val="Arial"/>
        <charset val="134"/>
      </rPr>
      <t>️</t>
    </r>
  </si>
  <si>
    <t>photos/hangzhou-model-003</t>
  </si>
  <si>
    <t>photos/hangzhou-model-003/01.jpg</t>
  </si>
  <si>
    <t>photos/hangzhou-model-003/02.jpg</t>
  </si>
  <si>
    <t>photos/hangzhou-model-003/03.jpg</t>
  </si>
  <si>
    <t>photos/hangzhou-model-003/profile.mp4</t>
  </si>
  <si>
    <t>https://hqq2.com/hangzhou/model-003/</t>
  </si>
  <si>
    <r>
      <rPr>
        <sz val="10"/>
        <color rgb="FF2B2424"/>
        <rFont val="宋体"/>
        <charset val="134"/>
      </rPr>
      <t>杭州外围模特</t>
    </r>
    <r>
      <rPr>
        <sz val="10"/>
        <color rgb="FF2B2424"/>
        <rFont val="Arial"/>
        <charset val="134"/>
      </rPr>
      <t>mini</t>
    </r>
  </si>
  <si>
    <t>杭州外围｜杭州高端外围｜杭州上门服务</t>
  </si>
  <si>
    <t>04年  171cm C</t>
  </si>
  <si>
    <r>
      <rPr>
        <sz val="10"/>
        <color rgb="FF2B2424"/>
        <rFont val="宋体"/>
        <charset val="134"/>
      </rPr>
      <t>❄️在读MBA  一口流利英文 
❄️冷白皮  妈生脸  高级明星气质
❄️无风尘味</t>
    </r>
    <r>
      <rPr>
        <sz val="10"/>
        <color rgb="FF2B2424"/>
        <rFont val="Arial"/>
        <charset val="134"/>
      </rPr>
      <t xml:space="preserve"> </t>
    </r>
    <r>
      <rPr>
        <sz val="10"/>
        <color rgb="FF2B2424"/>
        <rFont val="宋体"/>
        <charset val="134"/>
      </rPr>
      <t>短期兼职 只见素质客💛</t>
    </r>
  </si>
  <si>
    <t>photos/hangzhou-model-004</t>
  </si>
  <si>
    <t>photos/hangzhou-model-004/01.jpg</t>
  </si>
  <si>
    <t>photos/hangzhou-model-004/02.jpg</t>
  </si>
  <si>
    <t>photos/hangzhou-model-004/03.jpg</t>
  </si>
  <si>
    <t>photos/hangzhou-model-004/profile.mp4</t>
  </si>
  <si>
    <t>https://hqq2.com/hangzhou/model-004/</t>
  </si>
  <si>
    <t>杭州外围模特婷婷</t>
  </si>
  <si>
    <t>杭州外围｜杭州怎么找外围｜杭州外围资源</t>
  </si>
  <si>
    <r>
      <rPr>
        <sz val="10"/>
        <color rgb="FF2B2424"/>
        <rFont val="宋体"/>
        <charset val="134"/>
      </rPr>
      <t>身高/175  年龄</t>
    </r>
    <r>
      <rPr>
        <sz val="10"/>
        <color rgb="FF2B2424"/>
        <rFont val="Arial"/>
        <charset val="134"/>
      </rPr>
      <t>/02</t>
    </r>
    <r>
      <rPr>
        <sz val="10"/>
        <color rgb="FF2B2424"/>
        <rFont val="宋体"/>
        <charset val="134"/>
      </rPr>
      <t>年</t>
    </r>
    <r>
      <rPr>
        <sz val="10"/>
        <color rgb="FF2B2424"/>
        <rFont val="Arial"/>
        <charset val="134"/>
      </rPr>
      <t xml:space="preserve"> </t>
    </r>
    <r>
      <rPr>
        <sz val="10"/>
        <color rgb="FF2B2424"/>
        <rFont val="宋体"/>
        <charset val="134"/>
      </rPr>
      <t>胸围</t>
    </r>
    <r>
      <rPr>
        <sz val="10"/>
        <color rgb="FF2B2424"/>
        <rFont val="Arial"/>
        <charset val="134"/>
      </rPr>
      <t>/D</t>
    </r>
  </si>
  <si>
    <r>
      <rPr>
        <sz val="10"/>
        <color rgb="FF2B2424"/>
        <rFont val="宋体"/>
        <charset val="134"/>
      </rPr>
      <t>天然无整/五官精致/鹅蛋脸/全身雪白/无纹身</t>
    </r>
    <r>
      <rPr>
        <sz val="10"/>
        <color rgb="FF2B2424"/>
        <rFont val="Arial"/>
        <charset val="134"/>
      </rPr>
      <t xml:space="preserve"> </t>
    </r>
    <r>
      <rPr>
        <sz val="10"/>
        <color rgb="FF2B2424"/>
        <rFont val="宋体"/>
        <charset val="134"/>
      </rPr>
      <t>本科毕业琴棋书画样样精通</t>
    </r>
    <r>
      <rPr>
        <sz val="10"/>
        <color rgb="FF2B2424"/>
        <rFont val="Arial"/>
        <charset val="134"/>
      </rPr>
      <t xml:space="preserve"> </t>
    </r>
    <r>
      <rPr>
        <sz val="10"/>
        <color rgb="FF2B2424"/>
        <rFont val="宋体"/>
        <charset val="134"/>
      </rPr>
      <t>特长</t>
    </r>
    <r>
      <rPr>
        <sz val="10"/>
        <color rgb="FF2B2424"/>
        <rFont val="Arial"/>
        <charset val="134"/>
      </rPr>
      <t>/</t>
    </r>
    <r>
      <rPr>
        <sz val="10"/>
        <color rgb="FF2B2424"/>
        <rFont val="宋体"/>
        <charset val="134"/>
      </rPr>
      <t>胸大腰细屁股翘</t>
    </r>
    <r>
      <rPr>
        <sz val="10"/>
        <color rgb="FF2B2424"/>
        <rFont val="Arial"/>
        <charset val="134"/>
      </rPr>
      <t>/</t>
    </r>
    <r>
      <rPr>
        <sz val="10"/>
        <color rgb="FF2B2424"/>
        <rFont val="宋体"/>
        <charset val="134"/>
      </rPr>
      <t>身材极佳</t>
    </r>
    <r>
      <rPr>
        <sz val="10"/>
        <color rgb="FF2B2424"/>
        <rFont val="Arial"/>
        <charset val="134"/>
      </rPr>
      <t>/🉑69🐍/</t>
    </r>
    <r>
      <rPr>
        <sz val="10"/>
        <color rgb="FF2B2424"/>
        <rFont val="宋体"/>
        <charset val="134"/>
      </rPr>
      <t>满足您所有幻想</t>
    </r>
  </si>
  <si>
    <t>photos/hangzhou-model-005</t>
  </si>
  <si>
    <t>photos/hangzhou-model-005/01.jpg</t>
  </si>
  <si>
    <t>photos/hangzhou-model-005/02.jpg</t>
  </si>
  <si>
    <t>photos/hangzhou-model-005/03.jpg</t>
  </si>
  <si>
    <t>photos/hangzhou-model-005/profile.mp4</t>
  </si>
  <si>
    <t>https://hqq2.com/hangzhou/model-005/</t>
  </si>
  <si>
    <t>杭州外围模特可可</t>
  </si>
  <si>
    <t>杭州外围｜杭州上门服务｜杭州外围工作室</t>
  </si>
  <si>
    <t>身高172 胸F 50kg</t>
  </si>
  <si>
    <t>🉑一字马   身体柔软  艺术生
• ▲ 白裡透紅 粉红色坚挺不垂 可遇不可求  
• 🤍 蜂腰巨臀酒杯腿 御姐曼妙身姿摇曳
• ▪️五官立体 魅惑勾魂  
•       完美腰臀比 皮肤细腻如缎 大燈保真
• •    性格溫柔 熱情投入 喜欢尝试各种新鲜事物
•   🐰 旅行 健身 角色扮演 🎵</t>
  </si>
  <si>
    <t>photos/hangzhou-model-006</t>
  </si>
  <si>
    <t>photos/hangzhou-model-006/01.jpg</t>
  </si>
  <si>
    <t>photos/hangzhou-model-006/02.jpg</t>
  </si>
  <si>
    <t>photos/hangzhou-model-006/03.jpg</t>
  </si>
  <si>
    <t>photos/hangzhou-model-006/profile.mp4</t>
  </si>
  <si>
    <t>https://hqq2.com/hangzhou/model-006/</t>
  </si>
  <si>
    <t>杭州外围模特卡卡</t>
  </si>
  <si>
    <t>杭州外围｜杭州外围女｜杭州高端模特预约</t>
  </si>
  <si>
    <t>166cm 05年 D</t>
  </si>
  <si>
    <t>😋马甲线 翘臀  筷子腿 你想要的全都🈶
🤍全身雪白 皮肤软滑Q弹 光滑婴儿肌
🤍毫无风尘味，温柔似水，绝佳女友体</t>
  </si>
  <si>
    <t>photos/hangzhou-model-007</t>
  </si>
  <si>
    <t>photos/hangzhou-model-007/01.jpg</t>
  </si>
  <si>
    <t>photos/hangzhou-model-007/02.jpg</t>
  </si>
  <si>
    <t>photos/hangzhou-model-007/03.jpg</t>
  </si>
  <si>
    <t>photos/hangzhou-model-007/profile.mp4</t>
  </si>
  <si>
    <t>https://hqq2.com/hangzhou/model-007/</t>
  </si>
  <si>
    <t xml:space="preserve">杭州外围模特橙橙 </t>
  </si>
  <si>
    <t>杭州外围｜杭州外围模特预约｜杭州学生外围</t>
  </si>
  <si>
    <t>166 胸C 88斤  06年</t>
  </si>
  <si>
    <t>女友乖乖脸 
颜值与可爱并存 女友感满满
《 口活绝 外纯内骚 反差少女》
   细腰长腿  有小面积纹身</t>
  </si>
  <si>
    <t>photos/hangzhou-model-008</t>
  </si>
  <si>
    <t>photos/hangzhou-model-008/01.jpg</t>
  </si>
  <si>
    <t>photos/hangzhou-model-008/02.jpg</t>
  </si>
  <si>
    <t>photos/hangzhou-model-008/03.jpg</t>
  </si>
  <si>
    <t>photos/hangzhou-model-008/profile.mp4</t>
  </si>
  <si>
    <t>https://hqq2.com/hangzhou/model-008/</t>
  </si>
  <si>
    <t>杭州外围模特朵朵</t>
  </si>
  <si>
    <t>杭州外围｜杭州外围经纪｜杭州外围资源</t>
  </si>
  <si>
    <r>
      <rPr>
        <sz val="10"/>
        <color rgb="FF2B2424"/>
        <rFont val="宋体"/>
        <charset val="134"/>
      </rPr>
      <t>身高 173  48kg </t>
    </r>
    <r>
      <rPr>
        <sz val="10"/>
        <color rgb="FF2B2424"/>
        <rFont val="Arial"/>
        <charset val="134"/>
      </rPr>
      <t>D</t>
    </r>
  </si>
  <si>
    <t>✦ 全身紧致匀称，体脂14% 
✦ 身體柔軟一字马 解鎖各種未知新體位
✦ CAREER职业：职业模特</t>
  </si>
  <si>
    <t>photos/hangzhou-model-009</t>
  </si>
  <si>
    <t>photos/hangzhou-model-009/01.jpg</t>
  </si>
  <si>
    <t>photos/hangzhou-model-009/02.jpg</t>
  </si>
  <si>
    <t>photos/hangzhou-model-009/03.jpg</t>
  </si>
  <si>
    <t>photos/hangzhou-model-009/profile.mp4</t>
  </si>
  <si>
    <t>https://hqq2.com/hangzhou/model-009/</t>
  </si>
  <si>
    <t>杭州外围模特周周</t>
  </si>
  <si>
    <t>杭州外围｜杭州同城上门｜杭州高端外围</t>
  </si>
  <si>
    <t>172D</t>
  </si>
  <si>
    <r>
      <rPr>
        <sz val="10"/>
        <color rgb="FF2B2424"/>
        <rFont val="宋体"/>
        <charset val="134"/>
      </rPr>
      <t>絕頂长腿美杀 腿模 
身材窈窕气质高级</t>
    </r>
    <r>
      <rPr>
        <sz val="10"/>
        <color rgb="FF2B2424"/>
        <rFont val="Arial"/>
        <charset val="134"/>
      </rPr>
      <t xml:space="preserve"> </t>
    </r>
    <r>
      <rPr>
        <sz val="10"/>
        <color rgb="FF2B2424"/>
        <rFont val="宋体"/>
        <charset val="134"/>
      </rPr>
      <t>無敵超模身材</t>
    </r>
    <r>
      <rPr>
        <sz val="10"/>
        <color rgb="FF2B2424"/>
        <rFont val="Arial"/>
        <charset val="134"/>
      </rPr>
      <t> </t>
    </r>
    <r>
      <rPr>
        <sz val="10"/>
        <color rgb="FF2B2424"/>
        <rFont val="宋体"/>
        <charset val="134"/>
      </rPr>
      <t>美腿高跟鞋丝袜的绝配</t>
    </r>
    <r>
      <rPr>
        <sz val="10"/>
        <color rgb="FF2B2424"/>
        <rFont val="Arial"/>
        <charset val="134"/>
      </rPr>
      <t xml:space="preserve"> 
</t>
    </r>
    <r>
      <rPr>
        <sz val="10"/>
        <color rgb="FF2B2424"/>
        <rFont val="宋体"/>
        <charset val="134"/>
      </rPr>
      <t>常年瑜伽健身普拉提戶外運動</t>
    </r>
    <r>
      <rPr>
        <sz val="10"/>
        <color rgb="FF2B2424"/>
        <rFont val="Arial"/>
        <charset val="134"/>
      </rPr>
      <t xml:space="preserve">
</t>
    </r>
    <r>
      <rPr>
        <sz val="10"/>
        <color rgb="FF2B2424"/>
        <rFont val="宋体"/>
        <charset val="134"/>
      </rPr>
      <t>纯新人兼职短暂停留杭州</t>
    </r>
  </si>
  <si>
    <t>photos/hangzhou-model-010</t>
  </si>
  <si>
    <t>photos/hangzhou-model-010/01.jpg</t>
  </si>
  <si>
    <t>photos/hangzhou-model-010/02.jpg</t>
  </si>
  <si>
    <t>photos/hangzhou-model-010/03.jpg</t>
  </si>
  <si>
    <t>photos/hangzhou-model-010/profile.mp4</t>
  </si>
  <si>
    <t>https://hqq2.com/hangzhou/model-010/</t>
  </si>
  <si>
    <t>顶奢 · 首页与顶部导航设置</t>
  </si>
  <si>
    <t>黄色“内容”列可以修改；灰色字段代码不要修改或删除。</t>
  </si>
  <si>
    <t>分区</t>
  </si>
  <si>
    <t>字段代码</t>
  </si>
  <si>
    <t>字段名称</t>
  </si>
  <si>
    <t>内容</t>
  </si>
  <si>
    <t>说明</t>
  </si>
  <si>
    <t>品牌与导航</t>
  </si>
  <si>
    <t>brand_name</t>
  </si>
  <si>
    <t>网站名称</t>
  </si>
  <si>
    <t>顶奢</t>
  </si>
  <si>
    <t>用于全站品牌文字</t>
  </si>
  <si>
    <t>brand_en</t>
  </si>
  <si>
    <t>英文品牌名</t>
  </si>
  <si>
    <t>DINGSHE</t>
  </si>
  <si>
    <t>显示在 LOGO 文字下方</t>
  </si>
  <si>
    <t>nav_home_label</t>
  </si>
  <si>
    <t>导航：首页</t>
  </si>
  <si>
    <t>首页</t>
  </si>
  <si>
    <t>顶部导航文字</t>
  </si>
  <si>
    <t>nav_resources_label</t>
  </si>
  <si>
    <t>导航：资源库</t>
  </si>
  <si>
    <t>模特资源库</t>
  </si>
  <si>
    <t>顶部下拉菜单文字</t>
  </si>
  <si>
    <t>nav_resources_en</t>
  </si>
  <si>
    <t>资源库英文</t>
  </si>
  <si>
    <t>MODEL DIRECTORY</t>
  </si>
  <si>
    <t>下拉菜单英文标题</t>
  </si>
  <si>
    <t>nav_resources_prompt</t>
  </si>
  <si>
    <t>资源库提示</t>
  </si>
  <si>
    <t>选择城市资源</t>
  </si>
  <si>
    <t>下拉菜单中文标题</t>
  </si>
  <si>
    <t>nav_about_label</t>
  </si>
  <si>
    <t>导航：关于我们</t>
  </si>
  <si>
    <t>关于我们</t>
  </si>
  <si>
    <t>nav_contact_label</t>
  </si>
  <si>
    <t>导航：联系我们</t>
  </si>
  <si>
    <t>联系我们</t>
  </si>
  <si>
    <t>首页SEO</t>
  </si>
  <si>
    <t>seo_title</t>
  </si>
  <si>
    <t>商务模特预约｜高端外围预约｜顶奢</t>
  </si>
  <si>
    <t>浏览器标题与搜索标题</t>
  </si>
  <si>
    <t>seo_description</t>
  </si>
  <si>
    <t>上海、广州、深圳、北京、杭州城市资料展示与独立详情页。</t>
  </si>
  <si>
    <t>首页搜索摘要</t>
  </si>
  <si>
    <t>首页主图</t>
  </si>
  <si>
    <t>hero_image_alt</t>
  </si>
  <si>
    <t>主图替代文字</t>
  </si>
  <si>
    <t>顶奢城市资源库精选视觉主图</t>
  </si>
  <si>
    <t>用于图片 SEO</t>
  </si>
  <si>
    <t>hero_image_title</t>
  </si>
  <si>
    <t>主图站点地图标题</t>
  </si>
  <si>
    <t>顶奢城市资源库</t>
  </si>
  <si>
    <t>用于图片 Sitemap</t>
  </si>
  <si>
    <t>首页首屏</t>
  </si>
  <si>
    <t>hero_kicker</t>
  </si>
  <si>
    <t>首屏英文</t>
  </si>
  <si>
    <t>CURATED CITY DIRECTORY</t>
  </si>
  <si>
    <t>标题上方英文</t>
  </si>
  <si>
    <t>hero_title_line1</t>
  </si>
  <si>
    <t>首屏主标题</t>
  </si>
  <si>
    <t>顶奢甄选</t>
  </si>
  <si>
    <t>第一行标题</t>
  </si>
  <si>
    <t>hero_title_emphasis</t>
  </si>
  <si>
    <t>首屏强调标题</t>
  </si>
  <si>
    <t>尊享非凡</t>
  </si>
  <si>
    <t>第二行金色标题</t>
  </si>
  <si>
    <t>hero_description</t>
  </si>
  <si>
    <t>首屏简介</t>
  </si>
  <si>
    <t>欢迎来到顶奢商务模特外围工作室！我们的服务覆盖北京、上海、广州、深圳、杭州等全国一二线城市及热门城市，国外英法美日韩泰国新加坡等热门国家，为您提供需要的外围商务模特预约。</t>
  </si>
  <si>
    <t>主标题下方文字</t>
  </si>
  <si>
    <t>首页统计</t>
  </si>
  <si>
    <t>stat_city_label</t>
  </si>
  <si>
    <t>城市数量标签</t>
  </si>
  <si>
    <t>座城市</t>
  </si>
  <si>
    <t>数字自动统计</t>
  </si>
  <si>
    <t>stat_profile_label</t>
  </si>
  <si>
    <t>资料数量标签</t>
  </si>
  <si>
    <t>套资料</t>
  </si>
  <si>
    <t>stat_media_value</t>
  </si>
  <si>
    <t>媒体数量文字</t>
  </si>
  <si>
    <t>自动统计</t>
  </si>
  <si>
    <t>例如 3+1</t>
  </si>
  <si>
    <t>stat_media_label</t>
  </si>
  <si>
    <t>媒体数量标签</t>
  </si>
  <si>
    <t>媒体文件</t>
  </si>
  <si>
    <t>例如 媒体位</t>
  </si>
  <si>
    <t>城市入口</t>
  </si>
  <si>
    <t>city_section_kicker</t>
  </si>
  <si>
    <t>城市区英文</t>
  </si>
  <si>
    <t>EXPLORE BY CITY</t>
  </si>
  <si>
    <t>城市入口标题上方英文</t>
  </si>
  <si>
    <t>city_section_title</t>
  </si>
  <si>
    <t>城市区标题</t>
  </si>
  <si>
    <t>按城市浏览</t>
  </si>
  <si>
    <t/>
  </si>
  <si>
    <t>city_section_description</t>
  </si>
  <si>
    <t>城市区说明</t>
  </si>
  <si>
    <t>已发布城市会自动显示在这里，后续可通过工作表继续增加城市和资料。</t>
  </si>
  <si>
    <t>city_card_link_label</t>
  </si>
  <si>
    <t>城市卡按钮</t>
  </si>
  <si>
    <t>进入资源库</t>
  </si>
  <si>
    <t>按钮后自动添加箭头</t>
  </si>
  <si>
    <t>精选资料</t>
  </si>
  <si>
    <t>featured_kicker</t>
  </si>
  <si>
    <t>精选区英文</t>
  </si>
  <si>
    <t>SELECTED PROFILES</t>
  </si>
  <si>
    <t>featured_title</t>
  </si>
  <si>
    <t>精选区标题</t>
  </si>
  <si>
    <t>首批精选</t>
  </si>
  <si>
    <t>底部卖点</t>
  </si>
  <si>
    <t>promise_1_label</t>
  </si>
  <si>
    <t>卖点1标签</t>
  </si>
  <si>
    <t>专属页面</t>
  </si>
  <si>
    <t>已从首页移除，不再显示；保留字段仅用于兼容旧工作表</t>
  </si>
  <si>
    <t>promise_1_title</t>
  </si>
  <si>
    <t>卖点1标题</t>
  </si>
  <si>
    <t>独立呈现</t>
  </si>
  <si>
    <t>promise_1_text</t>
  </si>
  <si>
    <t>卖点1说明</t>
  </si>
  <si>
    <t>每套资料拥有稳定网址和独立 SEO 信息。</t>
  </si>
  <si>
    <t>promise_2_label</t>
  </si>
  <si>
    <t>卖点2标签</t>
  </si>
  <si>
    <t>图文视频</t>
  </si>
  <si>
    <t>promise_2_title</t>
  </si>
  <si>
    <t>卖点2标题</t>
  </si>
  <si>
    <t>多媒体结构</t>
  </si>
  <si>
    <t>promise_2_text</t>
  </si>
  <si>
    <t>卖点2说明</t>
  </si>
  <si>
    <t>图片和视频按实际资料配置，并提供独立说明与元数据。</t>
  </si>
  <si>
    <t>promise_3_label</t>
  </si>
  <si>
    <t>卖点3标签</t>
  </si>
  <si>
    <t>持续更新</t>
  </si>
  <si>
    <t>promise_3_title</t>
  </si>
  <si>
    <t>卖点3标题</t>
  </si>
  <si>
    <t>灵活扩展</t>
  </si>
  <si>
    <t>promise_3_text</t>
  </si>
  <si>
    <t>卖点3说明</t>
  </si>
  <si>
    <t>城市、资料数量和内容均可继续追加。</t>
  </si>
  <si>
    <t>预约流程</t>
  </si>
  <si>
    <t>process_kicker</t>
  </si>
  <si>
    <t>流程区英文</t>
  </si>
  <si>
    <t>process_title</t>
  </si>
  <si>
    <t>流程区标题</t>
  </si>
  <si>
    <t>预约咨询流程</t>
  </si>
  <si>
    <t>首页五步流程标题</t>
  </si>
  <si>
    <t>process_1_label</t>
  </si>
  <si>
    <t>步骤1标题</t>
  </si>
  <si>
    <t>加入会员</t>
  </si>
  <si>
    <t>第一个流程按钮</t>
  </si>
  <si>
    <t>process_1_text</t>
  </si>
  <si>
    <t>步骤1说明</t>
  </si>
  <si>
    <t>打开顶奢专属客服咨询并加入会员，享受会员相关权益，解锁更多同城资源。</t>
  </si>
  <si>
    <t>点击步骤1后显示</t>
  </si>
  <si>
    <t>process_2_label</t>
  </si>
  <si>
    <t>步骤2标题</t>
  </si>
  <si>
    <t>告知需求</t>
  </si>
  <si>
    <t>第二个流程按钮</t>
  </si>
  <si>
    <t>process_2_text</t>
  </si>
  <si>
    <t>步骤2说明</t>
  </si>
  <si>
    <t>提供城市、时间和偏好，方便客服快速筛选合适资料。</t>
  </si>
  <si>
    <t>点击步骤2后显示</t>
  </si>
  <si>
    <t>process_3_label</t>
  </si>
  <si>
    <t>步骤3标题</t>
  </si>
  <si>
    <t>查看资料</t>
  </si>
  <si>
    <t>第三个流程按钮</t>
  </si>
  <si>
    <t>process_3_text</t>
  </si>
  <si>
    <t>步骤3说明</t>
  </si>
  <si>
    <t>确定需求后，推送符合条件人员资料，挑选合适人选。</t>
  </si>
  <si>
    <t>点击步骤3后显示</t>
  </si>
  <si>
    <t>process_4_label</t>
  </si>
  <si>
    <t>步骤4标题</t>
  </si>
  <si>
    <t>确认安排</t>
  </si>
  <si>
    <t>第四个流程按钮</t>
  </si>
  <si>
    <t>process_4_text</t>
  </si>
  <si>
    <t>步骤4说明</t>
  </si>
  <si>
    <t>确认选择、时间和必要事项；如有变化请及时沟通。</t>
  </si>
  <si>
    <t>点击步骤4后显示</t>
  </si>
  <si>
    <t>process_5_label</t>
  </si>
  <si>
    <t>步骤5标题</t>
  </si>
  <si>
    <t>保持联系</t>
  </si>
  <si>
    <t>第五个流程按钮</t>
  </si>
  <si>
    <t>process_5_text</t>
  </si>
  <si>
    <t>步骤5说明</t>
  </si>
  <si>
    <t>按确认好的计划前往，并根据实际安排保持联系。见到mm确认无误，先付款后体验。</t>
  </si>
  <si>
    <t>点击步骤5后显示</t>
  </si>
  <si>
    <t>随机推荐</t>
  </si>
  <si>
    <t>random_kicker</t>
  </si>
  <si>
    <t>推荐区英文</t>
  </si>
  <si>
    <t>DISCOVER MORE</t>
  </si>
  <si>
    <t>随机资料标题上方英文</t>
  </si>
  <si>
    <t>random_title</t>
  </si>
  <si>
    <t>推荐区标题</t>
  </si>
  <si>
    <t>相关资料推荐</t>
  </si>
  <si>
    <t>首页随机资料标题</t>
  </si>
  <si>
    <t>random_description</t>
  </si>
  <si>
    <t>推荐区说明</t>
  </si>
  <si>
    <t>每次打开页面都会随机展示不同城市的资料入口。</t>
  </si>
  <si>
    <t>随机卡片上方说明</t>
  </si>
  <si>
    <t>random_count</t>
  </si>
  <si>
    <t>首页显示数量</t>
  </si>
  <si>
    <t>请输入 4 至 12 的整数</t>
  </si>
  <si>
    <t>常见问题</t>
  </si>
  <si>
    <t>home_faq_kicker</t>
  </si>
  <si>
    <t>问答区英文</t>
  </si>
  <si>
    <t>COMMON QUESTIONS</t>
  </si>
  <si>
    <t>home_faq_title</t>
  </si>
  <si>
    <t>问答区标题</t>
  </si>
  <si>
    <t>首页问答标题</t>
  </si>
  <si>
    <t>home_faq_description</t>
  </si>
  <si>
    <t>问答区说明</t>
  </si>
  <si>
    <t>关于模特挑选、媒体更新和客服入口的说明。</t>
  </si>
  <si>
    <t>首页问答简介</t>
  </si>
  <si>
    <t>home_faq_1_question</t>
  </si>
  <si>
    <t>问题1</t>
  </si>
  <si>
    <t>外围模特怎么选？</t>
  </si>
  <si>
    <t>点击后展开答案</t>
  </si>
  <si>
    <t>home_faq_1_answer</t>
  </si>
  <si>
    <t>答案1</t>
  </si>
  <si>
    <t>我们会按照您的要求将同城可以预约的女孩照片视频发送给您挑选。</t>
  </si>
  <si>
    <t>问题1答案</t>
  </si>
  <si>
    <t>home_faq_2_question</t>
  </si>
  <si>
    <t>问题2</t>
  </si>
  <si>
    <t>见面不满意怎么办？</t>
  </si>
  <si>
    <t>home_faq_2_answer</t>
  </si>
  <si>
    <t>答案2</t>
  </si>
  <si>
    <t>如果不满意您可以支付路费（路费实报实销）给女孩我们给您换人，直到您满意为止。</t>
  </si>
  <si>
    <t>问题2答案</t>
  </si>
  <si>
    <t>home_faq_3_question</t>
  </si>
  <si>
    <t>问题3</t>
  </si>
  <si>
    <t>价格如何？怎么消费？</t>
  </si>
  <si>
    <t>home_faq_3_answer</t>
  </si>
  <si>
    <t>答案3</t>
  </si>
  <si>
    <t>中圈2.4K-3.5K两次 夜6K+ 普通大圈3K一次夜8K 高级大圈5K一次夜1.5W 特殊定制服务请与我们联系告知需求获得报价。</t>
  </si>
  <si>
    <t>问题3答案</t>
  </si>
  <si>
    <t>home_faq_4_question</t>
  </si>
  <si>
    <t>问题4</t>
  </si>
  <si>
    <t>可以上门服务吗？</t>
  </si>
  <si>
    <t>home_faq_4_answer</t>
  </si>
  <si>
    <t>答案4</t>
  </si>
  <si>
    <t>可以上门服务或是您去mm那，具体情况看您如何安排方便。</t>
  </si>
  <si>
    <t>问题4答案</t>
  </si>
  <si>
    <t>home_faq_5_question</t>
  </si>
  <si>
    <t>问题5</t>
  </si>
  <si>
    <t>如何联系顶奢客服？</t>
  </si>
  <si>
    <t>home_faq_5_answer</t>
  </si>
  <si>
    <t>答案5</t>
  </si>
  <si>
    <t>点击页面右下角的顶奢专属咨询按钮，即可在当前页面打开客服窗口。</t>
  </si>
  <si>
    <t>问题5答案</t>
  </si>
  <si>
    <t>home_faq_6_question</t>
  </si>
  <si>
    <t>问题6</t>
  </si>
  <si>
    <t>后续会增加更多城市吗？</t>
  </si>
  <si>
    <t>home_faq_6_answer</t>
  </si>
  <si>
    <t>答案6</t>
  </si>
  <si>
    <t>会的。后续会增加更多城市和资料！</t>
  </si>
  <si>
    <t>问题6答案</t>
  </si>
  <si>
    <t>顶奢 · 城市首页批量编辑</t>
  </si>
  <si>
    <t>现有城市代码不要修改；新增城市可在下一空白行填写全部内容，并设置发布、收录和显示顺序。</t>
  </si>
  <si>
    <t>城市名称</t>
  </si>
  <si>
    <t>城市代码</t>
  </si>
  <si>
    <t>导航短句</t>
  </si>
  <si>
    <t>首屏标题</t>
  </si>
  <si>
    <t>数量标签</t>
  </si>
  <si>
    <t>专题英文</t>
  </si>
  <si>
    <t>专题标题</t>
  </si>
  <si>
    <t>亮点1标题</t>
  </si>
  <si>
    <t>亮点1说明</t>
  </si>
  <si>
    <t>亮点2标题</t>
  </si>
  <si>
    <t>亮点2说明</t>
  </si>
  <si>
    <t>亮点3标题</t>
  </si>
  <si>
    <t>亮点3说明</t>
  </si>
  <si>
    <t>精选英文</t>
  </si>
  <si>
    <t>精选标题</t>
  </si>
  <si>
    <t>精选说明</t>
  </si>
  <si>
    <t>全部英文</t>
  </si>
  <si>
    <t>全部标题</t>
  </si>
  <si>
    <t>全部说明</t>
  </si>
  <si>
    <t>FAQ英文</t>
  </si>
  <si>
    <t>FAQ标题</t>
  </si>
  <si>
    <t>FAQ说明</t>
  </si>
  <si>
    <t>回答1</t>
  </si>
  <si>
    <t>回答2</t>
  </si>
  <si>
    <t>回答3</t>
  </si>
  <si>
    <t>更多城市英文</t>
  </si>
  <si>
    <t>更多城市标题</t>
  </si>
  <si>
    <t>海派格调与都会精选</t>
  </si>
  <si>
    <t>上海外围｜上海模特预约｜上海高端外围｜顶奢</t>
  </si>
  <si>
    <t>顶奢上海外围，集中展示上海精选外围模特，上海高端外围，上海外围女资料、独立图片、视频、风格介绍与相关推荐。</t>
  </si>
  <si>
    <t>CITY COLLECTION</t>
  </si>
  <si>
    <t>顶奢上海外围模特资源页面汇集上海静安区、徐汇区、闵行区、宝山区、普陀区、浦东区等区域外围商务模特资料，提供图片、视频及详细资料展示。并持续更新新的外围模特资料，更多资源请联系客服加入会员后解锁！</t>
  </si>
  <si>
    <t>套独立资料</t>
  </si>
  <si>
    <t>CITY GUIDE</t>
  </si>
  <si>
    <t>上海资料浏览指南</t>
  </si>
  <si>
    <t>上海兼具都会节奏与精致审美，资料库收录不同风格的城市精选内容。你可以从个人气质、形象特点和展示风格入手，进入独立详情页查看照片、视频与完整介绍。</t>
  </si>
  <si>
    <t>如果你对静安、徐汇、闵行、宝山、浦东等区域有明确偏好，可以在咨询时告诉客服，可以更高效地找到符合需求的资料</t>
  </si>
  <si>
    <t>资源丰富</t>
  </si>
  <si>
    <t>涵盖清新、御姐、模特等不同资料风格。</t>
  </si>
  <si>
    <t>区域选择</t>
  </si>
  <si>
    <t>可根据静安、徐汇、闵行、宝山、浦东等区域说明需求。</t>
  </si>
  <si>
    <t>专属客服</t>
  </si>
  <si>
    <t>提供偏好和时间，客服可协助快速查找合适资料。</t>
  </si>
  <si>
    <t>EDITOR'S SELECTION</t>
  </si>
  <si>
    <t>上海精选入口</t>
  </si>
  <si>
    <t>先从代表性资料开始，再浏览本页完整列表。</t>
  </si>
  <si>
    <t>ALL PROFILES</t>
  </si>
  <si>
    <t>上海部分资料展示</t>
  </si>
  <si>
    <t>当前共 {count} 个可直接访问的独立详情页。</t>
  </si>
  <si>
    <t>上海资源常见问题</t>
  </si>
  <si>
    <t>关于流程与价格的简要说明。</t>
  </si>
  <si>
    <t>怎样查看上海全部资料？</t>
  </si>
  <si>
    <t>联系客服加入会员后可解锁当天全部资料！</t>
  </si>
  <si>
    <t>关于价格，怎么消费？</t>
  </si>
  <si>
    <t>普通快3夜8，高级快5夜1.5，无其他隐形消费！且见人满意再付。特殊定制服务请与我们联系告知需求获得报价。</t>
  </si>
  <si>
    <t>不如会可以安排吗？</t>
  </si>
  <si>
    <t>非会员一律不安排，毕竟网络时代，我们没有办法一一甄别。希望您能理解，我们以诚信为基础，对各方负责。非会员放鸽子几率太高，浪费我们资源和时间，如果您诚心有需求，入会既可给予我们一些信任，另外也让我们把时间花在了真正需要的人身上。</t>
  </si>
  <si>
    <t>MORE CITIES</t>
  </si>
  <si>
    <t>继续浏览其他城市</t>
  </si>
  <si>
    <t>岭南风尚与城市精选</t>
  </si>
  <si>
    <t>广州外围｜广州模特预约｜广州高端外围｜顶奢</t>
  </si>
  <si>
    <t>顶奢广州外围，集中展示广州精选外围模特，广州高端外围，广州外围女资料、独立图片、视频、风格介绍与相关推荐。</t>
  </si>
  <si>
    <t>广州外围模特</t>
  </si>
  <si>
    <t>顶奢广州外围模特资源页面汇集广州天河区、越秀区、海珠区、白云区等区域外围商务模特资料，提供图片、视频及详细资料展示。并持续更新新的外围模特资料，更多资源请联系客服加入会员后解锁！</t>
  </si>
  <si>
    <t>广州资料浏览指南</t>
  </si>
  <si>
    <t>广州城市资料注重自然气质与多样风格，每套资料均有独立页面，可查看图片、视频和详细介绍。</t>
  </si>
  <si>
    <t>可以结合天河、越秀、海珠或珠江新城等常见区域进行选择。说明时间安排与活动区域，可以更高效地找到符合需求的资料</t>
  </si>
  <si>
    <t>可说明天河、越秀、海珠等区域偏好，方便进一步查找。</t>
  </si>
  <si>
    <t>详情请和客服咨询逐步完成预约。</t>
  </si>
  <si>
    <t>广州精选入口</t>
  </si>
  <si>
    <t>广州部分资料展示</t>
  </si>
  <si>
    <t>广州资源常见问题</t>
  </si>
  <si>
    <t>怎样查看广州全部资料？</t>
  </si>
  <si>
    <t>湾区新锐与现代精选</t>
  </si>
  <si>
    <t>深圳外围｜深圳模特预约｜深圳高端外围｜顶奢</t>
  </si>
  <si>
    <t>顶奢深圳外围，集中展示深圳精选外围模特，深圳高端外围，深圳外围女资料、独立图片、视频、风格介绍与相关推荐。</t>
  </si>
  <si>
    <t>深圳外围模特</t>
  </si>
  <si>
    <t>顶奢深圳外围模特资源页面汇集深圳福田区、南山区、罗湖区、宝安区、龙华区等区域外围商务模特资料，提供图片、视频及详细资料展示。并持续更新新的外围模特资料，更多资源请联系客服加入会员后解锁！</t>
  </si>
  <si>
    <t>深圳资料浏览指南</t>
  </si>
  <si>
    <t>深圳资料库以现代、时尚和年轻化风格为主，收录不同气质的城市精选资料。你可以通过资料卡快速了解基本特点，再进入详情页查看完整图片、视频与介绍。</t>
  </si>
  <si>
    <t>如果你关注福田、南山、罗湖、宝安、龙华等区域，可以在咨询时提前说明。结合风格偏好、时间安排与活动区域，可以更高效地找到符合需求的资料。</t>
  </si>
  <si>
    <t>可根据福田、南山、罗湖、龙华、宝安等区域进一步筛选。</t>
  </si>
  <si>
    <t>快速匹配</t>
  </si>
  <si>
    <t>说明个人偏好后，可由客服协助整理和比较资料。</t>
  </si>
  <si>
    <t>深圳精选入口</t>
  </si>
  <si>
    <t>深圳部分资料展示</t>
  </si>
  <si>
    <t>深圳资源常见问题</t>
  </si>
  <si>
    <t>怎样查看深圳全部资料？</t>
  </si>
  <si>
    <t>京华气韵与城市精选</t>
  </si>
  <si>
    <t>北京外围｜北京模特预约｜北京高端外围｜顶奢</t>
  </si>
  <si>
    <t>顶奢北京外围，集中展示北京精选外围模特，北京高端外围，北京外围女资料、独立图片、视频、风格介绍与相关推荐。</t>
  </si>
  <si>
    <t>北京外围模特</t>
  </si>
  <si>
    <t>顶奢北京外围模特资源页面汇集北京朝阳区、东城区、海定区等区域外围商务模特资料，提供图片、视频及详细资料展示。并持续更新新的外围模特资料，更多资源请联系客服加入会员后解锁！</t>
  </si>
  <si>
    <t>北京资料浏览指南</t>
  </si>
  <si>
    <t>朝阳、海淀、东城等区域都有工作室，也可以上门，具体要求请在咨询时说明。</t>
  </si>
  <si>
    <t>可以找客服解锁更多感兴趣的资料，再结合时间、区域和风格进行进一步确认预约。</t>
  </si>
  <si>
    <t>可说明朝阳、海淀、东城等区域偏好，方便快速查找。</t>
  </si>
  <si>
    <t>北京精选入口</t>
  </si>
  <si>
    <t>北京部分资料展示</t>
  </si>
  <si>
    <t>北京资源常见问题</t>
  </si>
  <si>
    <t>怎样查看北京全部资料？</t>
  </si>
  <si>
    <t>江南雅意与城市精选</t>
  </si>
  <si>
    <t>杭州外围｜杭州模特预约｜杭州高端外围｜顶奢</t>
  </si>
  <si>
    <t>顶奢杭州外围，集中展示杭州精选外围模特，杭州高端外围，杭州外围女资料、独立图片、视频、风格介绍与相关推荐。</t>
  </si>
  <si>
    <t>杭州外围模特</t>
  </si>
  <si>
    <t>顶奢杭州外围模特资源页面汇集杭州西湖区、上城区、滨江区、拱墅区、萧山区等区域外围商务模特资料，提供图片、视频及详细资料展示。并持续更新新的外围模特资料，更多资源请联系客服加入会员后解锁！</t>
  </si>
  <si>
    <t>杭州资料浏览指南</t>
  </si>
  <si>
    <t>杭州城市资料以雅致和精致风格为主，适合按照个人气质、形象特点喜好和展示内容进行浏览。每套资料都有独立页面，便于查看照片、视频和详细说明。</t>
  </si>
  <si>
    <t>如果你关注西湖、上城、滨江，拱墅等区域，可以在咨询时提前说明。通过风格、区域和时间三个方向进行筛选，可以更快找到感兴趣的资料。</t>
  </si>
  <si>
    <t>可根据西湖、上城、滨江、拱墅等区域说明个人偏好。</t>
  </si>
  <si>
    <t>杭州精选入口</t>
  </si>
  <si>
    <t>杭州部分资料展示</t>
  </si>
  <si>
    <t>杭州资源常见问题</t>
  </si>
  <si>
    <t>怎样查看杭州全部资料？</t>
  </si>
  <si>
    <t>顶奢 · 固定页面内容</t>
  </si>
  <si>
    <t>包括关于我们、联系我们、隐私政策、服务条款和 404 页面；只修改黄色内容列。</t>
  </si>
  <si>
    <t>页面</t>
  </si>
  <si>
    <t>page_code</t>
  </si>
  <si>
    <t>about</t>
  </si>
  <si>
    <t>page_name</t>
  </si>
  <si>
    <t>页面分组名称</t>
  </si>
  <si>
    <t>关于我们｜顶奢</t>
  </si>
  <si>
    <t>修改后会重新生成该页面</t>
  </si>
  <si>
    <t>了解顶奢城市资料库的内容结构、更新方式与浏览路径。</t>
  </si>
  <si>
    <t>ABOUT · DINGSHE</t>
  </si>
  <si>
    <t>hero_title</t>
  </si>
  <si>
    <t>关于顶奢</t>
  </si>
  <si>
    <t>首屏说明</t>
  </si>
  <si>
    <t>顶奢旗下拥有海量高端外围模特资源，满足各界顶尖商务人士娱乐活动和商务交际需求。</t>
  </si>
  <si>
    <t>sidebar_title</t>
  </si>
  <si>
    <t>侧栏英文标题</t>
  </si>
  <si>
    <t>ABOUT US</t>
  </si>
  <si>
    <t>sidebar_1</t>
  </si>
  <si>
    <t>侧栏第1项</t>
  </si>
  <si>
    <t>sidebar_2</t>
  </si>
  <si>
    <t>侧栏第2项</t>
  </si>
  <si>
    <t>sidebar_3</t>
  </si>
  <si>
    <t>侧栏第3项</t>
  </si>
  <si>
    <t>内容标准</t>
  </si>
  <si>
    <t>section_1_kicker</t>
  </si>
  <si>
    <t>第1段英文</t>
  </si>
  <si>
    <t>OUR PURPOSE</t>
  </si>
  <si>
    <t>section_1_title</t>
  </si>
  <si>
    <t>第1段标题</t>
  </si>
  <si>
    <t>顶奢甄选  尊享非凡</t>
  </si>
  <si>
    <t>section_1_body_1</t>
  </si>
  <si>
    <t>第1段正文1</t>
  </si>
  <si>
    <t>我们靠谱专业提供100%真实北京外围、上海外围、深圳外围、广州外围、佛山外围、东莞外围、武汉外围、南京外围、成都外围、重庆外围、福州外围、厦门外围、杭州外围、长沙外围、济南外围、郑州外围、西安外围、青岛外围。</t>
  </si>
  <si>
    <t>section_1_body_2</t>
  </si>
  <si>
    <t>第1段正文2</t>
  </si>
  <si>
    <t>、以及国内主流城市和国外主流城市的高端外围模特、平面模特、商务模特、网红模特、车模、泳装模特、内衣模特、兼职空姐、coser、洛丽塔等高端资源。平台专业为社会名流高端人士提供高端靠谱商务外围服务，找全球伴游、兼职外围女模特、高端商务陪同、极品外围女请与我们联系。覆盖国内各大城市，规范化服务流程，注重客户隐私保护。</t>
  </si>
  <si>
    <t>section_2_kicker</t>
  </si>
  <si>
    <t>第2段英文</t>
  </si>
  <si>
    <t>CITY DIRECTORY</t>
  </si>
  <si>
    <t>section_2_title</t>
  </si>
  <si>
    <t>第2段标题</t>
  </si>
  <si>
    <t>从已发布城市开始浏览</t>
  </si>
  <si>
    <t>section_3_kicker</t>
  </si>
  <si>
    <t>第3段英文</t>
  </si>
  <si>
    <t>CONTENT PRINCIPLES</t>
  </si>
  <si>
    <t>section_3_title</t>
  </si>
  <si>
    <t>第3段标题</t>
  </si>
  <si>
    <t>顶奢资料特色</t>
  </si>
  <si>
    <t>point_1_title</t>
  </si>
  <si>
    <t>要点1标题</t>
  </si>
  <si>
    <t>城市精选</t>
  </si>
  <si>
    <t>point_1_text</t>
  </si>
  <si>
    <t>要点1说明</t>
  </si>
  <si>
    <t>按城市整理精选资料，每套内容独立展示，查找更加清晰便捷。</t>
  </si>
  <si>
    <t>point_2_title</t>
  </si>
  <si>
    <t>要点2标题</t>
  </si>
  <si>
    <t>图文展示</t>
  </si>
  <si>
    <t>point_2_text</t>
  </si>
  <si>
    <t>要点2说明</t>
  </si>
  <si>
    <t>每套资料可展示详细介绍、高清图片和相关视频，内容一目了然。</t>
  </si>
  <si>
    <t>point_3_title</t>
  </si>
  <si>
    <t>要点3标题</t>
  </si>
  <si>
    <t>point_3_text</t>
  </si>
  <si>
    <t>要点3说明</t>
  </si>
  <si>
    <t>页面内容会随时补充与更新，并提供更多同城资料推荐。</t>
  </si>
  <si>
    <t>closing_text</t>
  </si>
  <si>
    <t>结尾文字</t>
  </si>
  <si>
    <t>如需了解具体页面，可前往联系我们。</t>
  </si>
  <si>
    <t>contact</t>
  </si>
  <si>
    <t>联系我们｜顶奢</t>
  </si>
  <si>
    <t>通过顶奢专属在线客服咨询城市资料、页面内容与网站使用问题。</t>
  </si>
  <si>
    <t>CONTACT · DINGSHE</t>
  </si>
  <si>
    <t>联系顶奢</t>
  </si>
  <si>
    <t>intro_kicker</t>
  </si>
  <si>
    <t>介绍英文</t>
  </si>
  <si>
    <t>PRIVATE CONCIERGE</t>
  </si>
  <si>
    <t>intro_title</t>
  </si>
  <si>
    <t>介绍标题</t>
  </si>
  <si>
    <t>专属沟通入口</t>
  </si>
  <si>
    <t>intro_text</t>
  </si>
  <si>
    <t>介绍正文</t>
  </si>
  <si>
    <t>需要了解其他城市资料，可直接打开在线客服咨询加入会员。</t>
  </si>
  <si>
    <t>email_label</t>
  </si>
  <si>
    <t>邮箱标签</t>
  </si>
  <si>
    <t>OFFICIAL EMAIL · 官方邮箱</t>
  </si>
  <si>
    <t>address_label</t>
  </si>
  <si>
    <t>地址标签</t>
  </si>
  <si>
    <t>OFFICE ADDRESS · 地址</t>
  </si>
  <si>
    <t>legal_text</t>
  </si>
  <si>
    <t>提示文字</t>
  </si>
  <si>
    <t>开始咨询前，可以先浏览精选资源！</t>
  </si>
  <si>
    <t>card_kicker</t>
  </si>
  <si>
    <t>客服卡英文</t>
  </si>
  <si>
    <t>DINGSHE PRIVATE SERVICE</t>
  </si>
  <si>
    <t>card_title</t>
  </si>
  <si>
    <t>客服卡标题</t>
  </si>
  <si>
    <t>在线客服</t>
  </si>
  <si>
    <t>card_text</t>
  </si>
  <si>
    <t>客服卡说明</t>
  </si>
  <si>
    <t>点击下方按钮，在当前页面打开专属客服窗口。</t>
  </si>
  <si>
    <t>button_title</t>
  </si>
  <si>
    <t>按钮标题</t>
  </si>
  <si>
    <t>开始咨询</t>
  </si>
  <si>
    <t>button_subtitle</t>
  </si>
  <si>
    <t>按钮英文</t>
  </si>
  <si>
    <t>隐私政策</t>
  </si>
  <si>
    <t>privacy</t>
  </si>
  <si>
    <t>隐私政策｜顶奢</t>
  </si>
  <si>
    <t>了解顶奢网站可能处理的信息、使用目的、第三方服务与访问者选择。</t>
  </si>
  <si>
    <t>PRIVACY · DINGSHE</t>
  </si>
  <si>
    <t>updated_date</t>
  </si>
  <si>
    <t>更新日期</t>
  </si>
  <si>
    <t>更新日期：2026 年 9 月 23 日</t>
  </si>
  <si>
    <t>PRIVACY</t>
  </si>
  <si>
    <t>信息范围</t>
  </si>
  <si>
    <t>使用目的</t>
  </si>
  <si>
    <t>Cookie 与分析</t>
  </si>
  <si>
    <t>sidebar_4</t>
  </si>
  <si>
    <t>侧栏第4项</t>
  </si>
  <si>
    <t>第三方服务</t>
  </si>
  <si>
    <t>sidebar_5</t>
  </si>
  <si>
    <t>侧栏第5项</t>
  </si>
  <si>
    <t>保存与安全</t>
  </si>
  <si>
    <t>sidebar_6</t>
  </si>
  <si>
    <t>侧栏第6项</t>
  </si>
  <si>
    <t>你的选择</t>
  </si>
  <si>
    <t>1. 我们可能处理的信息</t>
  </si>
  <si>
    <t>访问网站时，服务器及分析工具可能记录浏览器类型、设备类型、访问页面、来源页面、访问时间和近似地区等技术信息。你主动使用在线客服时，我们还会处理你在对话中自愿提供的内容。</t>
  </si>
  <si>
    <t>请不要在咨询中提交与问题无关的敏感个人信息。</t>
  </si>
  <si>
    <t>2. 信息的使用目的</t>
  </si>
  <si>
    <t>section_2_body_1</t>
  </si>
  <si>
    <t>第2段正文1</t>
  </si>
  <si>
    <t>相关信息用于运行和保护网站、理解页面使用情况、改进城市资料与导航体验，以及回复你主动发起的咨询。我们不会把在线沟通内容用于与上述目的无关的公开展示。</t>
  </si>
  <si>
    <t>section_2_body_2</t>
  </si>
  <si>
    <t>第2段正文2</t>
  </si>
  <si>
    <t>3. Cookie 与访问分析</t>
  </si>
  <si>
    <t>section_3_body_1</t>
  </si>
  <si>
    <t>第3段正文1</t>
  </si>
  <si>
    <t>网站可能使用 Cookie 或类似技术维持基础功能并统计访问情况，包括 Google Analytics 4。你可以通过浏览器设置限制或清除 Cookie；这样做可能影响部分功能或统计的准确性。</t>
  </si>
  <si>
    <t>section_3_body_2</t>
  </si>
  <si>
    <t>第3段正文2</t>
  </si>
  <si>
    <t>section_4_title</t>
  </si>
  <si>
    <t>第4段标题</t>
  </si>
  <si>
    <t>4. 第三方服务</t>
  </si>
  <si>
    <t>section_4_body_1</t>
  </si>
  <si>
    <t>第4段正文1</t>
  </si>
  <si>
    <t>网站接入在线客服、访问分析及搜索发现服务。相应服务加载时，服务提供方可能按照其自身规则处理必要的技术信息。我们会根据实际使用情况调整这些接入，并尽量只保留网站运营所需的服务。</t>
  </si>
  <si>
    <t>section_4_body_2</t>
  </si>
  <si>
    <t>第4段正文2</t>
  </si>
  <si>
    <t>section_5_title</t>
  </si>
  <si>
    <t>第5段标题</t>
  </si>
  <si>
    <t>5. 隐私与安全</t>
  </si>
  <si>
    <t>section_5_body_1</t>
  </si>
  <si>
    <t>第5段正文1</t>
  </si>
  <si>
    <t>我们非常重视客户的隐私和安全，采取严格的措施保障信息和资料的最高级别保密。</t>
  </si>
  <si>
    <t>section_5_body_2</t>
  </si>
  <si>
    <t>第5段正文2</t>
  </si>
  <si>
    <t>section_6_title</t>
  </si>
  <si>
    <t>第6段标题</t>
  </si>
  <si>
    <t>6. 你的选择与联系我们</t>
  </si>
  <si>
    <t>section_6_body_1</t>
  </si>
  <si>
    <t>第6段正文1</t>
  </si>
  <si>
    <t>你可以不提交在线咨询，也可以通过浏览器管理 Cookie。若对本政策或已提交的信息有疑问，请通过联系我们页面发起咨询，或发送邮件至官方邮箱。</t>
  </si>
  <si>
    <t>section_6_body_2</t>
  </si>
  <si>
    <t>第6段正文2</t>
  </si>
  <si>
    <t>本政策可能随网站功能或服务接入变化而更新；重大调整会在本页体现，并更新页面日期。</t>
  </si>
  <si>
    <t>服务条款</t>
  </si>
  <si>
    <t>terms</t>
  </si>
  <si>
    <t>服务条款｜顶奢</t>
  </si>
  <si>
    <t>了解访问和使用顶奢网站时适用的内容说明与使用规则。</t>
  </si>
  <si>
    <t>TERMS · DINGSHE</t>
  </si>
  <si>
    <t>TERMS</t>
  </si>
  <si>
    <t>网站用途</t>
  </si>
  <si>
    <t>使用规则</t>
  </si>
  <si>
    <t>内容与媒体</t>
  </si>
  <si>
    <t>信息准确性</t>
  </si>
  <si>
    <t>更新与联系</t>
  </si>
  <si>
    <t>1. 网站用途</t>
  </si>
  <si>
    <t>顶奢用于展示按城市整理的资料、图片、视频及相关介绍。页面信息用于浏览和沟通参考；如需确认具体内容，请通过官方在线客服进一步了解。</t>
  </si>
  <si>
    <t>2. 合理使用</t>
  </si>
  <si>
    <t>访问者不得利用网站从事违法活动、破坏网站安全、干扰正常服务、批量抓取受限制内容，或冒用他人身份发起沟通。我们可以对明显影响网站安全或正常运行的访问采取限制措施。</t>
  </si>
  <si>
    <t>3. 页面内容与媒体</t>
  </si>
  <si>
    <t>网站的版式、文字、品牌标识及依法享有权利的媒体内容受相应法律保护。除非取得授权，不应擅自复制、重新发布或将内容用于误导性用途。若你认为某项内容涉及权利问题，请通过联系我们页面提供具体网址与说明。</t>
  </si>
  <si>
    <t>4. 第三方功能与链接</t>
  </si>
  <si>
    <t>在线客服、访问分析或外部链接可能由第三方提供，其可用性和数据处理规则由相应服务方负责。我们会维护站内入口，但不能保证所有第三方服务始终不中断。</t>
  </si>
  <si>
    <t>5. 信息准确性与服务变更</t>
  </si>
  <si>
    <t>我们会持续维护页面，但展示内容可能随资料更新而变化。网站按当前可用状态提供，不对临时中断、第三方故障或访问者基于过期页面信息作出的决定作不适当保证。</t>
  </si>
  <si>
    <t>6. 条款更新与联系</t>
  </si>
  <si>
    <t>本条款可能随网站结构、服务方式或适用要求调整而更新。继续使用网站前，可再次查看本页。若有疑问，请前往联系我们；有关信息处理的说明请查看隐私政策。</t>
  </si>
  <si>
    <t>404 页面</t>
  </si>
  <si>
    <t>not_found</t>
  </si>
  <si>
    <t>页面未找到｜顶奢</t>
  </si>
  <si>
    <t>页面不存在。</t>
  </si>
  <si>
    <t>404</t>
  </si>
  <si>
    <t>页面未找到</t>
  </si>
  <si>
    <t>你访问的页面不存在或已经移动。</t>
  </si>
  <si>
    <t>button_label</t>
  </si>
  <si>
    <t>返回按钮文字</t>
  </si>
  <si>
    <t>返回首页</t>
  </si>
  <si>
    <t>顶奢 · 全站页脚设置</t>
  </si>
  <si>
    <t>页脚、官方邮箱、官方地址和在线客服按钮文字均可在黄色内容列修改。</t>
  </si>
  <si>
    <t>品牌说明</t>
  </si>
  <si>
    <t>description</t>
  </si>
  <si>
    <t>页脚品牌说明</t>
  </si>
  <si>
    <t>顶奢平台专业为社会名流高端人士提供高端靠谱商务外围服务，商务伴游、兼职外围女模特、高端商务陪同、极品外围女请与我们联系。资源覆盖国内一二线城市以及海外各大主流城市，规范化服务流程，注重客户隐私保护。</t>
  </si>
  <si>
    <t>全站每个页面都会显示</t>
  </si>
  <si>
    <t>联系方式</t>
  </si>
  <si>
    <t>官方邮箱</t>
  </si>
  <si>
    <t>email</t>
  </si>
  <si>
    <t>dingshe1@outlook.com</t>
  </si>
  <si>
    <t>同时用于联系页和结构化数据</t>
  </si>
  <si>
    <t>地址</t>
  </si>
  <si>
    <t>address</t>
  </si>
  <si>
    <t>官方地址</t>
  </si>
  <si>
    <t>123 Fashion Avenue, Suite 400, New York, NY 10001, USA</t>
  </si>
  <si>
    <t>页脚栏目</t>
  </si>
  <si>
    <t>city_nav_title</t>
  </si>
  <si>
    <t>城市导航标题</t>
  </si>
  <si>
    <t>城市导航</t>
  </si>
  <si>
    <t>site_info_title</t>
  </si>
  <si>
    <t>网站信息标题</t>
  </si>
  <si>
    <t>网站信息</t>
  </si>
  <si>
    <t>页脚链接</t>
  </si>
  <si>
    <t>about_label</t>
  </si>
  <si>
    <t>关于我们文字</t>
  </si>
  <si>
    <t>contact_label</t>
  </si>
  <si>
    <t>联系我们文字</t>
  </si>
  <si>
    <t>privacy_label</t>
  </si>
  <si>
    <t>隐私政策文字</t>
  </si>
  <si>
    <t>terms_label</t>
  </si>
  <si>
    <t>服务条款文字</t>
  </si>
  <si>
    <t>版权</t>
  </si>
  <si>
    <t>copyright</t>
  </si>
  <si>
    <t>版权文字</t>
  </si>
  <si>
    <t>© 2026 顶奢</t>
  </si>
  <si>
    <t>chat_aria_label</t>
  </si>
  <si>
    <t>客服无障碍说明</t>
  </si>
  <si>
    <t>打开在线客服</t>
  </si>
  <si>
    <t>chat_title</t>
  </si>
  <si>
    <t>客服按钮标题</t>
  </si>
  <si>
    <t>顶奢专属咨询</t>
  </si>
  <si>
    <t>chat_subtitle</t>
  </si>
  <si>
    <t>客服按钮英文</t>
  </si>
  <si>
    <t>顶奢 · 整站本地修改说明</t>
  </si>
  <si>
    <t>工作表、脚本和网站代码应放在同一个项目文件夹内。</t>
  </si>
  <si>
    <t>工作表</t>
  </si>
  <si>
    <t>可以修改的内容</t>
  </si>
  <si>
    <t>资料批量编辑</t>
  </si>
  <si>
    <t>详情页名称、SEO、正文、发布状态、收录状态、图片 ALT、视频元数据和内容审核。</t>
  </si>
  <si>
    <t>首页设置</t>
  </si>
  <si>
    <t>网站名称、顶部导航、首页 SEO、首屏、预约流程、城市入口、随机推荐和常见问题。</t>
  </si>
  <si>
    <t>城市首页</t>
  </si>
  <si>
    <t>现有城市内容和发布状态；也可在下一空白行增加新城市。现有城市代码不要修改。</t>
  </si>
  <si>
    <t>固定页面</t>
  </si>
  <si>
    <t>关于我们、联系我们、隐私政策、服务条款和 404 页面。</t>
  </si>
  <si>
    <t>页脚设置</t>
  </si>
  <si>
    <t>页脚说明、邮箱、地址、链接名称和在线客服按钮文字。</t>
  </si>
  <si>
    <t>资料允许收录前</t>
  </si>
  <si>
    <t>必须完成的内容</t>
  </si>
  <si>
    <t>选择“已发布”。</t>
  </si>
  <si>
    <t>内容未完成时保持“否”；全部完成后改为“是”。</t>
  </si>
  <si>
    <t>内容与 SEO</t>
  </si>
  <si>
    <t>替换模板文字，填写独立标题、描述、简介、详情说明和正文。</t>
  </si>
  <si>
    <t>图片</t>
  </si>
  <si>
    <t>至少添加真实主图 01，并为每张已上传图片填写独立 ALT 和图片说明。</t>
  </si>
  <si>
    <t>视频</t>
  </si>
  <si>
    <t>有 profile.mp4 时填写标题、描述、上传日期和 ISO 8601 时长，例如 PT1M30S。</t>
  </si>
  <si>
    <t>日期</t>
  </si>
  <si>
    <t>填写首次发布日期和最后更新日期；最后更新日期不得早于首次发布日期。</t>
  </si>
  <si>
    <t>内容审核</t>
  </si>
  <si>
    <t>全部检查完成后改为“已完成”。脚本才允许开启收录。</t>
  </si>
  <si>
    <t>步骤</t>
  </si>
  <si>
    <t>操作</t>
  </si>
  <si>
    <t>只修改黄色单元格；现有城市代码、网址和媒体路径保持不变。</t>
  </si>
  <si>
    <t>新增城市时，在“城市首页”下一空白行填写全部字段，先设为“草稿”和“不允许收录”。</t>
  </si>
  <si>
    <t>新增资料时，在“资料批量编辑”下一空白行填写城市代码、model-编号、内容和发布控制字段。</t>
  </si>
  <si>
    <t>把 01、02、03 图片和可选的 profile.mp4 放入对应 photos 文件夹。没有视频可以留空。</t>
  </si>
  <si>
    <t>需要检查媒体时，把“处理图片”改为“是”。脚本会提示缺少的文件。</t>
  </si>
  <si>
    <t>保存并完全关闭 Excel。</t>
  </si>
  <si>
    <t>双击“一键更新网站.bat”，自动生成网站、Sitemap、响应式图片和 SEO 检查结果。生成后请双击 dist\index.html 预览，不要直接打开城市或资料文件夹。</t>
  </si>
  <si>
    <t>本地检查通过后，双击“上传到GitHub.bat”。</t>
  </si>
  <si>
    <t>GitHub Pages 发布完成后，脚本只向 IndexNow 提交新增、更新或移除的 URL。</t>
  </si>
  <si>
    <t>在 Google Search Console、Bing 和 Yandex 中定期检查抓取、收录和结构化数据。</t>
  </si>
  <si>
    <t>颜色</t>
  </si>
  <si>
    <t>含义</t>
  </si>
  <si>
    <t>黄色</t>
  </si>
  <si>
    <t>允许修改，会写入网站。</t>
  </si>
  <si>
    <t>灰色</t>
  </si>
  <si>
    <t>现有网址、城市代码或技术字段，请不要修改。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</si>
</sst>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34">
    <font>
      <sz val="11"/>
      <name val="Carlito"/>
      <charset val="134"/>
    </font>
    <font>
      <b/>
      <sz val="20"/>
      <color rgb="FFC89A45"/>
      <name val="Microsoft YaHei"/>
      <charset val="134"/>
    </font>
    <font>
      <sz val="10"/>
      <color rgb="FFFFF8EA"/>
      <name val="Microsoft YaHei"/>
      <charset val="134"/>
    </font>
    <font>
      <b/>
      <sz val="10"/>
      <color rgb="FFFFFFFF"/>
      <name val="Arial"/>
      <charset val="134"/>
    </font>
    <font>
      <sz val="10"/>
      <color rgb="FF2B2424"/>
      <name val="Arial"/>
      <charset val="134"/>
    </font>
    <font>
      <sz val="10"/>
      <color rgb="FF5C5552"/>
      <name val="Arial"/>
      <charset val="134"/>
    </font>
    <font>
      <i/>
      <sz val="10"/>
      <color rgb="FFFFF8EA"/>
      <name val="Microsoft YaHei"/>
      <charset val="134"/>
    </font>
    <font>
      <b/>
      <sz val="10"/>
      <color rgb="FFFFFFFF"/>
      <name val="Microsoft YaHei"/>
      <charset val="134"/>
    </font>
    <font>
      <sz val="10"/>
      <color rgb="FF2C2022"/>
      <name val="Microsoft YaHei"/>
      <charset val="134"/>
    </font>
    <font>
      <b/>
      <sz val="15"/>
      <color rgb="FFD8B15B"/>
      <name val="Arial"/>
      <charset val="134"/>
    </font>
    <font>
      <i/>
      <sz val="10"/>
      <color rgb="FF4B101D"/>
      <name val="Arial"/>
      <charset val="134"/>
    </font>
    <font>
      <sz val="10"/>
      <color rgb="FF2B2424"/>
      <name val="宋体"/>
      <charset val="134"/>
    </font>
    <font>
      <sz val="11"/>
      <color rgb="FF33291D"/>
      <name val="宋体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color rgb="FF2B2424"/>
      <name val="Times New Roman"/>
      <charset val="134"/>
    </font>
  </fonts>
  <fills count="47">
    <fill>
      <patternFill patternType="none"/>
    </fill>
    <fill>
      <patternFill patternType="gray125"/>
    </fill>
    <fill>
      <patternFill patternType="solid">
        <fgColor rgb="FF261018"/>
        <bgColor indexed="64"/>
      </patternFill>
    </fill>
    <fill>
      <patternFill patternType="solid">
        <fgColor rgb="FF45212D"/>
        <bgColor indexed="64"/>
      </patternFill>
    </fill>
    <fill>
      <patternFill patternType="solid">
        <fgColor rgb="FF6A1B2B"/>
        <bgColor indexed="64"/>
      </patternFill>
    </fill>
    <fill>
      <patternFill patternType="solid">
        <fgColor rgb="FFFFF3C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7E2DF"/>
        <bgColor indexed="64"/>
      </patternFill>
    </fill>
    <fill>
      <patternFill patternType="solid">
        <fgColor rgb="FFFBF7F2"/>
        <bgColor indexed="64"/>
      </patternFill>
    </fill>
    <fill>
      <patternFill patternType="solid">
        <fgColor rgb="FF9A6C23"/>
        <bgColor indexed="64"/>
      </patternFill>
    </fill>
    <fill>
      <patternFill patternType="solid">
        <fgColor rgb="FFE8E4E1"/>
        <bgColor indexed="64"/>
      </patternFill>
    </fill>
    <fill>
      <patternFill patternType="solid">
        <fgColor rgb="FFFFF7D2"/>
        <bgColor indexed="64"/>
      </patternFill>
    </fill>
    <fill>
      <patternFill patternType="solid">
        <fgColor rgb="FFF2EFEC"/>
        <bgColor indexed="64"/>
      </patternFill>
    </fill>
    <fill>
      <patternFill patternType="solid">
        <fgColor rgb="FF4B101D"/>
        <bgColor indexed="64"/>
      </patternFill>
    </fill>
    <fill>
      <patternFill patternType="solid">
        <fgColor rgb="FFF8E8EC"/>
        <bgColor indexed="64"/>
      </patternFill>
    </fill>
    <fill>
      <patternFill patternType="solid">
        <fgColor rgb="FFFFF7D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D8C9C5"/>
      </left>
      <right style="thin">
        <color rgb="FFD8C9C5"/>
      </right>
      <top style="thin">
        <color rgb="FFD8C9C5"/>
      </top>
      <bottom style="thin">
        <color rgb="FFD8C9C5"/>
      </bottom>
      <diagonal/>
    </border>
    <border>
      <left style="thin">
        <color rgb="FFCDBFAE"/>
      </left>
      <right style="thin">
        <color rgb="FFCDBFAE"/>
      </right>
      <top style="thin">
        <color rgb="FFCDBFAE"/>
      </top>
      <bottom style="thin">
        <color rgb="FFCDBFAE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13" fillId="0" borderId="0">
      <alignment vertical="center"/>
    </xf>
    <xf numFmtId="44" fontId="13" fillId="0" borderId="0">
      <alignment vertical="center"/>
    </xf>
    <xf numFmtId="9" fontId="13" fillId="0" borderId="0">
      <alignment vertical="center"/>
    </xf>
    <xf numFmtId="41" fontId="13" fillId="0" borderId="0">
      <alignment vertical="center"/>
    </xf>
    <xf numFmtId="42" fontId="13" fillId="0" borderId="0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13" fillId="16" borderId="3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9" fillId="0" borderId="4">
      <alignment vertical="center"/>
    </xf>
    <xf numFmtId="0" fontId="20" fillId="0" borderId="4">
      <alignment vertical="center"/>
    </xf>
    <xf numFmtId="0" fontId="21" fillId="0" borderId="5">
      <alignment vertical="center"/>
    </xf>
    <xf numFmtId="0" fontId="21" fillId="0" borderId="0">
      <alignment vertical="center"/>
    </xf>
    <xf numFmtId="0" fontId="22" fillId="17" borderId="6">
      <alignment vertical="center"/>
    </xf>
    <xf numFmtId="0" fontId="23" fillId="18" borderId="7">
      <alignment vertical="center"/>
    </xf>
    <xf numFmtId="0" fontId="24" fillId="18" borderId="6">
      <alignment vertical="center"/>
    </xf>
    <xf numFmtId="0" fontId="25" fillId="19" borderId="8">
      <alignment vertical="center"/>
    </xf>
    <xf numFmtId="0" fontId="26" fillId="0" borderId="9">
      <alignment vertical="center"/>
    </xf>
    <xf numFmtId="0" fontId="27" fillId="0" borderId="10">
      <alignment vertical="center"/>
    </xf>
    <xf numFmtId="0" fontId="28" fillId="20" borderId="0">
      <alignment vertical="center"/>
    </xf>
    <xf numFmtId="0" fontId="29" fillId="21" borderId="0">
      <alignment vertical="center"/>
    </xf>
    <xf numFmtId="0" fontId="30" fillId="22" borderId="0">
      <alignment vertical="center"/>
    </xf>
    <xf numFmtId="0" fontId="31" fillId="23" borderId="0">
      <alignment vertical="center"/>
    </xf>
    <xf numFmtId="0" fontId="32" fillId="24" borderId="0">
      <alignment vertical="center"/>
    </xf>
    <xf numFmtId="0" fontId="32" fillId="25" borderId="0">
      <alignment vertical="center"/>
    </xf>
    <xf numFmtId="0" fontId="31" fillId="26" borderId="0">
      <alignment vertical="center"/>
    </xf>
    <xf numFmtId="0" fontId="31" fillId="27" borderId="0">
      <alignment vertical="center"/>
    </xf>
    <xf numFmtId="0" fontId="32" fillId="28" borderId="0">
      <alignment vertical="center"/>
    </xf>
    <xf numFmtId="0" fontId="32" fillId="29" borderId="0">
      <alignment vertical="center"/>
    </xf>
    <xf numFmtId="0" fontId="31" fillId="30" borderId="0">
      <alignment vertical="center"/>
    </xf>
    <xf numFmtId="0" fontId="31" fillId="31" borderId="0">
      <alignment vertical="center"/>
    </xf>
    <xf numFmtId="0" fontId="32" fillId="32" borderId="0">
      <alignment vertical="center"/>
    </xf>
    <xf numFmtId="0" fontId="32" fillId="33" borderId="0">
      <alignment vertical="center"/>
    </xf>
    <xf numFmtId="0" fontId="31" fillId="34" borderId="0">
      <alignment vertical="center"/>
    </xf>
    <xf numFmtId="0" fontId="31" fillId="35" borderId="0">
      <alignment vertical="center"/>
    </xf>
    <xf numFmtId="0" fontId="32" fillId="36" borderId="0">
      <alignment vertical="center"/>
    </xf>
    <xf numFmtId="0" fontId="32" fillId="37" borderId="0">
      <alignment vertical="center"/>
    </xf>
    <xf numFmtId="0" fontId="31" fillId="38" borderId="0">
      <alignment vertical="center"/>
    </xf>
    <xf numFmtId="0" fontId="31" fillId="39" borderId="0">
      <alignment vertical="center"/>
    </xf>
    <xf numFmtId="0" fontId="32" fillId="40" borderId="0">
      <alignment vertical="center"/>
    </xf>
    <xf numFmtId="0" fontId="32" fillId="41" borderId="0">
      <alignment vertical="center"/>
    </xf>
    <xf numFmtId="0" fontId="31" fillId="42" borderId="0">
      <alignment vertical="center"/>
    </xf>
    <xf numFmtId="0" fontId="31" fillId="43" borderId="0">
      <alignment vertical="center"/>
    </xf>
    <xf numFmtId="0" fontId="32" fillId="44" borderId="0">
      <alignment vertical="center"/>
    </xf>
    <xf numFmtId="0" fontId="32" fillId="45" borderId="0">
      <alignment vertical="center"/>
    </xf>
    <xf numFmtId="0" fontId="31" fillId="46" borderId="0">
      <alignment vertical="center"/>
    </xf>
    <xf numFmtId="0" fontId="0" fillId="0" borderId="0"/>
  </cellStyleXfs>
  <cellXfs count="24">
    <xf numFmtId="0" fontId="0" fillId="0" borderId="0" xfId="49"/>
    <xf numFmtId="0" fontId="0" fillId="0" borderId="0" xfId="0" applyAlignment="1"/>
    <xf numFmtId="0" fontId="1" fillId="2" borderId="0" xfId="49" applyFont="1" applyFill="1" applyAlignment="1">
      <alignment vertical="center"/>
    </xf>
    <xf numFmtId="0" fontId="2" fillId="3" borderId="0" xfId="49" applyFont="1" applyFill="1" applyAlignment="1">
      <alignment vertical="center"/>
    </xf>
    <xf numFmtId="0" fontId="3" fillId="4" borderId="1" xfId="49" applyFont="1" applyFill="1" applyBorder="1" applyAlignment="1">
      <alignment horizontal="center" vertical="center" wrapText="1"/>
    </xf>
    <xf numFmtId="0" fontId="4" fillId="5" borderId="1" xfId="49" applyFont="1" applyFill="1" applyBorder="1" applyAlignment="1">
      <alignment vertical="top" wrapText="1"/>
    </xf>
    <xf numFmtId="0" fontId="0" fillId="0" borderId="0" xfId="49" applyAlignment="1">
      <alignment wrapText="1"/>
    </xf>
    <xf numFmtId="0" fontId="4" fillId="6" borderId="1" xfId="49" applyFont="1" applyFill="1" applyBorder="1" applyAlignment="1">
      <alignment wrapText="1"/>
    </xf>
    <xf numFmtId="0" fontId="5" fillId="7" borderId="1" xfId="49" applyFont="1" applyFill="1" applyBorder="1" applyAlignment="1">
      <alignment vertical="top" wrapText="1"/>
    </xf>
    <xf numFmtId="0" fontId="6" fillId="3" borderId="0" xfId="49" applyFont="1" applyFill="1" applyAlignment="1">
      <alignment vertical="center"/>
    </xf>
    <xf numFmtId="0" fontId="0" fillId="8" borderId="0" xfId="49" applyFill="1"/>
    <xf numFmtId="0" fontId="7" fillId="9" borderId="2" xfId="49" applyFont="1" applyFill="1" applyBorder="1" applyAlignment="1">
      <alignment horizontal="center" vertical="center" wrapText="1"/>
    </xf>
    <xf numFmtId="0" fontId="8" fillId="10" borderId="2" xfId="49" applyFont="1" applyFill="1" applyBorder="1" applyAlignment="1">
      <alignment vertical="top" wrapText="1"/>
    </xf>
    <xf numFmtId="0" fontId="8" fillId="11" borderId="2" xfId="49" applyFont="1" applyFill="1" applyBorder="1" applyAlignment="1">
      <alignment vertical="top" wrapText="1"/>
    </xf>
    <xf numFmtId="0" fontId="8" fillId="12" borderId="2" xfId="49" applyFont="1" applyFill="1" applyBorder="1" applyAlignment="1">
      <alignment vertical="top" wrapText="1"/>
    </xf>
    <xf numFmtId="0" fontId="9" fillId="13" borderId="0" xfId="49" applyFont="1" applyFill="1" applyAlignment="1">
      <alignment vertical="center"/>
    </xf>
    <xf numFmtId="0" fontId="10" fillId="14" borderId="0" xfId="49" applyFont="1" applyFill="1" applyAlignment="1">
      <alignment vertical="center"/>
    </xf>
    <xf numFmtId="0" fontId="11" fillId="5" borderId="1" xfId="49" applyFont="1" applyFill="1" applyBorder="1" applyAlignment="1">
      <alignment vertical="top" wrapText="1"/>
    </xf>
    <xf numFmtId="176" fontId="4" fillId="5" borderId="1" xfId="49" applyNumberFormat="1" applyFont="1" applyFill="1" applyBorder="1" applyAlignment="1">
      <alignment vertical="top" wrapText="1"/>
    </xf>
    <xf numFmtId="1" fontId="8" fillId="11" borderId="2" xfId="49" applyNumberFormat="1" applyFont="1" applyFill="1" applyBorder="1" applyAlignment="1">
      <alignment vertical="top" wrapText="1"/>
    </xf>
    <xf numFmtId="49" fontId="4" fillId="5" borderId="1" xfId="49" applyNumberFormat="1" applyFont="1" applyFill="1" applyBorder="1" applyAlignment="1">
      <alignment vertical="top" wrapText="1"/>
    </xf>
    <xf numFmtId="49" fontId="5" fillId="7" borderId="1" xfId="49" applyNumberFormat="1" applyFont="1" applyFill="1" applyBorder="1" applyAlignment="1">
      <alignment vertical="top" wrapText="1"/>
    </xf>
    <xf numFmtId="0" fontId="12" fillId="15" borderId="0" xfId="49" applyFont="1" applyFill="1" applyAlignment="1">
      <alignment vertical="top" wrapText="1"/>
    </xf>
    <xf numFmtId="49" fontId="11" fillId="5" borderId="1" xfId="49" applyNumberFormat="1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ProfilesTable" displayName="ProfilesTable" ref="A4:T54" totalsRowShown="0">
  <autoFilter xmlns:etc="http://www.wps.cn/officeDocument/2017/etCustomData" ref="A4:T54" etc:filterBottomFollowUsedRange="0"/>
  <tableColumns count="20">
    <tableColumn id="1" name="城市"/>
    <tableColumn id="2" name="city_slug"/>
    <tableColumn id="3" name="编号"/>
    <tableColumn id="4" name="slug"/>
    <tableColumn id="5" name="页面名称"/>
    <tableColumn id="6" name="SEO标题"/>
    <tableColumn id="7" name="SEO描述"/>
    <tableColumn id="8" name="卡片/顶部简介"/>
    <tableColumn id="9" name="风格/标签"/>
    <tableColumn id="10" name="详情说明"/>
    <tableColumn id="11" name="正文1"/>
    <tableColumn id="12" name="正文2"/>
    <tableColumn id="13" name="正文3"/>
    <tableColumn id="14" name="图片文件夹"/>
    <tableColumn id="15" name="图片1"/>
    <tableColumn id="16" name="图片2"/>
    <tableColumn id="17" name="图片3"/>
    <tableColumn id="18" name="视频文件"/>
    <tableColumn id="19" name="处理图片"/>
    <tableColumn id="20" name="页面UR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HomeSettingsTable" displayName="HomeSettingsTable" ref="A4:E39" totalsRowShown="0">
  <tableColumns count="5">
    <tableColumn id="1" name="分区"/>
    <tableColumn id="2" name="字段代码"/>
    <tableColumn id="3" name="字段名称"/>
    <tableColumn id="4" name="内容"/>
    <tableColumn id="5" name="说明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CitiesTable" displayName="CitiesTable" ref="A4:AJ9" totalsRowShown="0">
  <tableColumns count="36">
    <tableColumn id="1" name="城市名称"/>
    <tableColumn id="2" name="城市代码"/>
    <tableColumn id="3" name="导航短句"/>
    <tableColumn id="4" name="SEO标题"/>
    <tableColumn id="5" name="SEO描述"/>
    <tableColumn id="6" name="首屏英文"/>
    <tableColumn id="7" name="首屏标题"/>
    <tableColumn id="8" name="首屏简介"/>
    <tableColumn id="9" name="数量标签"/>
    <tableColumn id="10" name="专题英文"/>
    <tableColumn id="11" name="专题标题"/>
    <tableColumn id="12" name="正文1"/>
    <tableColumn id="13" name="正文2"/>
    <tableColumn id="14" name="亮点1标题"/>
    <tableColumn id="15" name="亮点1说明"/>
    <tableColumn id="16" name="亮点2标题"/>
    <tableColumn id="17" name="亮点2说明"/>
    <tableColumn id="18" name="亮点3标题"/>
    <tableColumn id="19" name="亮点3说明"/>
    <tableColumn id="20" name="精选英文"/>
    <tableColumn id="21" name="精选标题"/>
    <tableColumn id="22" name="精选说明"/>
    <tableColumn id="23" name="全部英文"/>
    <tableColumn id="24" name="全部标题"/>
    <tableColumn id="25" name="全部说明"/>
    <tableColumn id="26" name="FAQ英文"/>
    <tableColumn id="27" name="FAQ标题"/>
    <tableColumn id="28" name="FAQ说明"/>
    <tableColumn id="29" name="问题1"/>
    <tableColumn id="30" name="回答1"/>
    <tableColumn id="31" name="问题2"/>
    <tableColumn id="32" name="回答2"/>
    <tableColumn id="33" name="问题3"/>
    <tableColumn id="34" name="回答3"/>
    <tableColumn id="35" name="更多城市英文"/>
    <tableColumn id="36" name="更多城市标题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FixedPagesTable" displayName="FixedPagesTable" ref="A4:F117" totalsRowShown="0">
  <tableColumns count="6">
    <tableColumn id="1" name="页面"/>
    <tableColumn id="2" name="page_code"/>
    <tableColumn id="3" name="字段代码"/>
    <tableColumn id="4" name="字段名称"/>
    <tableColumn id="5" name="内容"/>
    <tableColumn id="6" name="说明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FooterSettingsTable" displayName="FooterSettingsTable" ref="A4:E19" totalsRowShown="0">
  <tableColumns count="5">
    <tableColumn id="1" name="分区"/>
    <tableColumn id="2" name="字段代码"/>
    <tableColumn id="3" name="字段名称"/>
    <tableColumn id="4" name="内容"/>
    <tableColumn id="5" name="说明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C89A45"/>
  </sheetPr>
  <dimension ref="A1:AL154"/>
  <sheetViews>
    <sheetView showGridLines="0" workbookViewId="0">
      <pane xSplit="4" ySplit="4" topLeftCell="E27" activePane="bottomRight" state="frozen"/>
      <selection/>
      <selection pane="topRight"/>
      <selection pane="bottomLeft"/>
      <selection pane="bottomRight" activeCell="G54" sqref="G54"/>
    </sheetView>
  </sheetViews>
  <sheetFormatPr defaultColWidth="9" defaultRowHeight="14.25"/>
  <cols>
    <col min="1" max="1" width="10" style="1" customWidth="1"/>
    <col min="2" max="2" width="13" style="1" customWidth="1"/>
    <col min="3" max="3" width="8" style="1" customWidth="1"/>
    <col min="4" max="4" width="13" style="1" customWidth="1"/>
    <col min="5" max="5" width="22" style="1" customWidth="1"/>
    <col min="6" max="6" width="30" style="1" customWidth="1"/>
    <col min="7" max="7" width="38" style="1" customWidth="1"/>
    <col min="8" max="8" width="34" style="1" customWidth="1"/>
    <col min="9" max="9" width="11" style="1" customWidth="1"/>
    <col min="10" max="13" width="38" style="1" customWidth="1"/>
    <col min="14" max="14" width="28" style="1" customWidth="1"/>
    <col min="15" max="17" width="31" style="1" customWidth="1"/>
    <col min="18" max="18" width="32" style="1" customWidth="1"/>
    <col min="19" max="19" width="11" style="1" customWidth="1"/>
    <col min="20" max="20" width="38" style="1" customWidth="1"/>
    <col min="21" max="24" width="11" style="1" customWidth="1"/>
    <col min="25" max="26" width="15" style="1" customWidth="1"/>
    <col min="27" max="33" width="24" style="1" customWidth="1"/>
    <col min="34" max="34" width="34" style="1" customWidth="1"/>
    <col min="35" max="35" width="28" style="1" customWidth="1"/>
    <col min="36" max="36" width="15" style="1" customWidth="1"/>
    <col min="37" max="37" width="14" style="1" customWidth="1"/>
    <col min="38" max="38" width="13" style="1" customWidth="1"/>
  </cols>
  <sheetData>
    <row r="1" ht="30" customHeight="1" spans="1:38">
      <c r="A1" s="15" t="s">
        <v>0</v>
      </c>
    </row>
    <row r="2" ht="25" customHeight="1" spans="1:38">
      <c r="A2" s="16" t="s">
        <v>1</v>
      </c>
    </row>
    <row r="3" ht="8" customHeight="1" spans="1:38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</row>
    <row r="4" ht="34" customHeight="1" spans="1:38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  <c r="R4" s="4" t="s">
        <v>19</v>
      </c>
      <c r="S4" s="4" t="s">
        <v>20</v>
      </c>
      <c r="T4" s="4" t="s">
        <v>21</v>
      </c>
      <c r="U4" s="4" t="s">
        <v>22</v>
      </c>
      <c r="V4" s="4" t="s">
        <v>23</v>
      </c>
      <c r="W4" s="4" t="s">
        <v>24</v>
      </c>
      <c r="X4" s="4" t="s">
        <v>25</v>
      </c>
      <c r="Y4" s="4" t="s">
        <v>26</v>
      </c>
      <c r="Z4" s="4" t="s">
        <v>27</v>
      </c>
      <c r="AA4" s="4" t="s">
        <v>28</v>
      </c>
      <c r="AB4" s="4" t="s">
        <v>29</v>
      </c>
      <c r="AC4" s="4" t="s">
        <v>30</v>
      </c>
      <c r="AD4" s="4" t="s">
        <v>31</v>
      </c>
      <c r="AE4" s="4" t="s">
        <v>32</v>
      </c>
      <c r="AF4" s="4" t="s">
        <v>33</v>
      </c>
      <c r="AG4" s="4" t="s">
        <v>34</v>
      </c>
      <c r="AH4" s="4" t="s">
        <v>35</v>
      </c>
      <c r="AI4" s="4" t="s">
        <v>36</v>
      </c>
      <c r="AJ4" s="4" t="s">
        <v>37</v>
      </c>
      <c r="AK4" s="4" t="s">
        <v>38</v>
      </c>
      <c r="AL4" s="4" t="s">
        <v>39</v>
      </c>
    </row>
    <row r="5" ht="42" customHeight="1" spans="1:38">
      <c r="A5" s="20" t="s">
        <v>40</v>
      </c>
      <c r="B5" s="21" t="s">
        <v>41</v>
      </c>
      <c r="C5" s="21" t="s">
        <v>42</v>
      </c>
      <c r="D5" s="21" t="s">
        <v>43</v>
      </c>
      <c r="E5" s="17" t="s">
        <v>44</v>
      </c>
      <c r="F5" s="22" t="s">
        <v>45</v>
      </c>
      <c r="G5" s="5" t="str">
        <f t="shared" ref="G5:G54" si="0">IF($E5="","","浏览"&amp;$E5&amp;"的独立资料、图片说明、内容介绍与相关推荐。")</f>
        <v>浏览上海外围模特鹿鹿的独立资料、图片说明、内容介绍与相关推荐。</v>
      </c>
      <c r="H5" s="17" t="s">
        <v>46</v>
      </c>
      <c r="I5" s="17" t="s">
        <v>47</v>
      </c>
      <c r="J5" s="17" t="s">
        <v>48</v>
      </c>
      <c r="K5" s="17" t="str">
        <f t="shared" ref="K5:K54" si="1">IF($E5="","","以上是"&amp;$E5&amp;"的照片、资料、无需注册登录即可浏览。")</f>
        <v>以上是上海外围模特鹿鹿的照片、资料、无需注册登录即可浏览。</v>
      </c>
      <c r="L5" s="17" t="s">
        <v>49</v>
      </c>
      <c r="M5" s="17" t="s">
        <v>50</v>
      </c>
      <c r="N5" s="21" t="s">
        <v>51</v>
      </c>
      <c r="O5" s="21" t="s">
        <v>52</v>
      </c>
      <c r="P5" s="21" t="s">
        <v>53</v>
      </c>
      <c r="Q5" s="21" t="s">
        <v>54</v>
      </c>
      <c r="R5" s="21" t="s">
        <v>55</v>
      </c>
      <c r="S5" s="23" t="s">
        <v>56</v>
      </c>
      <c r="T5" s="21" t="s">
        <v>57</v>
      </c>
      <c r="U5" s="5" t="s">
        <v>58</v>
      </c>
      <c r="V5" s="17" t="s">
        <v>59</v>
      </c>
      <c r="W5" s="5" t="s">
        <v>56</v>
      </c>
      <c r="X5" s="5">
        <v>1</v>
      </c>
      <c r="Y5" s="18">
        <v>46289</v>
      </c>
      <c r="Z5" s="18">
        <v>46289</v>
      </c>
      <c r="AA5" s="5" t="str">
        <f t="shared" ref="AA5:AA54" si="2">IF($E5="","",$E5&amp;"主图")</f>
        <v>上海外围模特鹿鹿主图</v>
      </c>
      <c r="AB5" s="5" t="str">
        <f t="shared" ref="AB5:AB54" si="3">IF($E5="","",$E5&amp;"资料主图")</f>
        <v>上海外围模特鹿鹿资料主图</v>
      </c>
      <c r="AC5" s="5" t="str">
        <f t="shared" ref="AC5:AC54" si="4">IF($E5="","",$E5&amp;"细节图")</f>
        <v>上海外围模特鹿鹿细节图</v>
      </c>
      <c r="AD5" s="5" t="str">
        <f t="shared" ref="AD5:AD54" si="5">IF($E5="","",$E5&amp;"资料细节")</f>
        <v>上海外围模特鹿鹿资料细节</v>
      </c>
      <c r="AE5" s="5" t="str">
        <f t="shared" ref="AE5:AE54" si="6">IF($E5="","",$E5&amp;"展示图")</f>
        <v>上海外围模特鹿鹿展示图</v>
      </c>
      <c r="AF5" s="5" t="str">
        <f t="shared" ref="AF5:AF54" si="7">IF($E5="","",$E5&amp;"资料展示")</f>
        <v>上海外围模特鹿鹿资料展示</v>
      </c>
      <c r="AG5" s="5" t="str">
        <f t="shared" ref="AG5:AG54" si="8">IF($E5="","",$E5&amp;"资料视频")</f>
        <v>上海外围模特鹿鹿资料视频</v>
      </c>
      <c r="AH5" s="5" t="str">
        <f t="shared" ref="AH5:AH54" si="9">IF($E5="","",$E5&amp;"相关资料视频")</f>
        <v>上海外围模特鹿鹿相关资料视频</v>
      </c>
      <c r="AI5" s="5"/>
      <c r="AJ5" s="18"/>
      <c r="AK5" s="5"/>
      <c r="AL5" s="17" t="s">
        <v>60</v>
      </c>
    </row>
    <row r="6" ht="42" customHeight="1" spans="1:38">
      <c r="A6" s="20" t="s">
        <v>40</v>
      </c>
      <c r="B6" s="21" t="s">
        <v>41</v>
      </c>
      <c r="C6" s="21" t="s">
        <v>61</v>
      </c>
      <c r="D6" s="21" t="s">
        <v>62</v>
      </c>
      <c r="E6" s="17" t="s">
        <v>63</v>
      </c>
      <c r="F6" s="22" t="s">
        <v>64</v>
      </c>
      <c r="G6" s="5" t="str">
        <f t="shared" si="0"/>
        <v>浏览上海外围模特依依的独立资料、图片说明、内容介绍与相关推荐。</v>
      </c>
      <c r="H6" s="17" t="s">
        <v>65</v>
      </c>
      <c r="I6" s="17" t="s">
        <v>47</v>
      </c>
      <c r="J6" s="17" t="s">
        <v>66</v>
      </c>
      <c r="K6" s="17" t="str">
        <f t="shared" si="1"/>
        <v>以上是上海外围模特依依的照片、资料、无需注册登录即可浏览。</v>
      </c>
      <c r="L6" s="17" t="s">
        <v>49</v>
      </c>
      <c r="M6" s="17" t="s">
        <v>50</v>
      </c>
      <c r="N6" s="21" t="s">
        <v>67</v>
      </c>
      <c r="O6" s="21" t="s">
        <v>68</v>
      </c>
      <c r="P6" s="21" t="s">
        <v>69</v>
      </c>
      <c r="Q6" s="21" t="s">
        <v>70</v>
      </c>
      <c r="R6" s="21" t="s">
        <v>71</v>
      </c>
      <c r="S6" s="23" t="s">
        <v>56</v>
      </c>
      <c r="T6" s="21" t="s">
        <v>72</v>
      </c>
      <c r="U6" s="5" t="s">
        <v>58</v>
      </c>
      <c r="V6" s="17" t="s">
        <v>59</v>
      </c>
      <c r="W6" s="5" t="s">
        <v>56</v>
      </c>
      <c r="X6" s="5">
        <v>2</v>
      </c>
      <c r="Y6" s="18">
        <v>46289</v>
      </c>
      <c r="Z6" s="18">
        <v>46289</v>
      </c>
      <c r="AA6" s="5" t="str">
        <f t="shared" si="2"/>
        <v>上海外围模特依依主图</v>
      </c>
      <c r="AB6" s="5" t="str">
        <f t="shared" si="3"/>
        <v>上海外围模特依依资料主图</v>
      </c>
      <c r="AC6" s="5" t="str">
        <f t="shared" si="4"/>
        <v>上海外围模特依依细节图</v>
      </c>
      <c r="AD6" s="5" t="str">
        <f t="shared" si="5"/>
        <v>上海外围模特依依资料细节</v>
      </c>
      <c r="AE6" s="5" t="str">
        <f t="shared" si="6"/>
        <v>上海外围模特依依展示图</v>
      </c>
      <c r="AF6" s="5" t="str">
        <f t="shared" si="7"/>
        <v>上海外围模特依依资料展示</v>
      </c>
      <c r="AG6" s="5" t="str">
        <f t="shared" si="8"/>
        <v>上海外围模特依依资料视频</v>
      </c>
      <c r="AH6" s="5" t="str">
        <f t="shared" si="9"/>
        <v>上海外围模特依依相关资料视频</v>
      </c>
      <c r="AI6" s="5"/>
      <c r="AJ6" s="18"/>
      <c r="AK6" s="5"/>
      <c r="AL6" s="17" t="s">
        <v>60</v>
      </c>
    </row>
    <row r="7" ht="42" customHeight="1" spans="1:38">
      <c r="A7" s="20" t="s">
        <v>40</v>
      </c>
      <c r="B7" s="21" t="s">
        <v>41</v>
      </c>
      <c r="C7" s="21" t="s">
        <v>73</v>
      </c>
      <c r="D7" s="21" t="s">
        <v>74</v>
      </c>
      <c r="E7" s="17" t="s">
        <v>75</v>
      </c>
      <c r="F7" s="22" t="s">
        <v>76</v>
      </c>
      <c r="G7" s="5" t="str">
        <f t="shared" si="0"/>
        <v>浏览上海外围模特Lisa的独立资料、图片说明、内容介绍与相关推荐。</v>
      </c>
      <c r="H7" s="17" t="s">
        <v>77</v>
      </c>
      <c r="I7" s="17" t="s">
        <v>47</v>
      </c>
      <c r="J7" s="17" t="s">
        <v>78</v>
      </c>
      <c r="K7" s="17" t="str">
        <f t="shared" si="1"/>
        <v>以上是上海外围模特Lisa的照片、资料、无需注册登录即可浏览。</v>
      </c>
      <c r="L7" s="17" t="s">
        <v>49</v>
      </c>
      <c r="M7" s="17" t="s">
        <v>50</v>
      </c>
      <c r="N7" s="21" t="s">
        <v>79</v>
      </c>
      <c r="O7" s="21" t="s">
        <v>80</v>
      </c>
      <c r="P7" s="21" t="s">
        <v>81</v>
      </c>
      <c r="Q7" s="21" t="s">
        <v>82</v>
      </c>
      <c r="R7" s="21" t="s">
        <v>83</v>
      </c>
      <c r="S7" s="23" t="s">
        <v>56</v>
      </c>
      <c r="T7" s="21" t="s">
        <v>84</v>
      </c>
      <c r="U7" s="5" t="s">
        <v>58</v>
      </c>
      <c r="V7" s="17" t="s">
        <v>59</v>
      </c>
      <c r="W7" s="5" t="s">
        <v>56</v>
      </c>
      <c r="X7" s="5">
        <v>3</v>
      </c>
      <c r="Y7" s="18">
        <v>46289</v>
      </c>
      <c r="Z7" s="18">
        <v>46289</v>
      </c>
      <c r="AA7" s="5" t="str">
        <f t="shared" si="2"/>
        <v>上海外围模特Lisa主图</v>
      </c>
      <c r="AB7" s="5" t="str">
        <f t="shared" si="3"/>
        <v>上海外围模特Lisa资料主图</v>
      </c>
      <c r="AC7" s="5" t="str">
        <f t="shared" si="4"/>
        <v>上海外围模特Lisa细节图</v>
      </c>
      <c r="AD7" s="5" t="str">
        <f t="shared" si="5"/>
        <v>上海外围模特Lisa资料细节</v>
      </c>
      <c r="AE7" s="5" t="str">
        <f t="shared" si="6"/>
        <v>上海外围模特Lisa展示图</v>
      </c>
      <c r="AF7" s="5" t="str">
        <f t="shared" si="7"/>
        <v>上海外围模特Lisa资料展示</v>
      </c>
      <c r="AG7" s="5" t="str">
        <f t="shared" si="8"/>
        <v>上海外围模特Lisa资料视频</v>
      </c>
      <c r="AH7" s="5" t="str">
        <f t="shared" si="9"/>
        <v>上海外围模特Lisa相关资料视频</v>
      </c>
      <c r="AI7" s="5"/>
      <c r="AJ7" s="18"/>
      <c r="AK7" s="5"/>
      <c r="AL7" s="17" t="s">
        <v>60</v>
      </c>
    </row>
    <row r="8" ht="42" customHeight="1" spans="1:38">
      <c r="A8" s="20" t="s">
        <v>40</v>
      </c>
      <c r="B8" s="21" t="s">
        <v>41</v>
      </c>
      <c r="C8" s="21" t="s">
        <v>85</v>
      </c>
      <c r="D8" s="21" t="s">
        <v>86</v>
      </c>
      <c r="E8" s="17" t="s">
        <v>87</v>
      </c>
      <c r="F8" s="22" t="s">
        <v>88</v>
      </c>
      <c r="G8" s="5" t="str">
        <f t="shared" si="0"/>
        <v>浏览上海外围模特LL的独立资料、图片说明、内容介绍与相关推荐。</v>
      </c>
      <c r="H8" s="17" t="s">
        <v>89</v>
      </c>
      <c r="I8" s="17" t="s">
        <v>47</v>
      </c>
      <c r="J8" s="17" t="s">
        <v>90</v>
      </c>
      <c r="K8" s="17" t="str">
        <f t="shared" si="1"/>
        <v>以上是上海外围模特LL的照片、资料、无需注册登录即可浏览。</v>
      </c>
      <c r="L8" s="17" t="s">
        <v>49</v>
      </c>
      <c r="M8" s="17" t="s">
        <v>50</v>
      </c>
      <c r="N8" s="21" t="s">
        <v>91</v>
      </c>
      <c r="O8" s="21" t="s">
        <v>92</v>
      </c>
      <c r="P8" s="21" t="s">
        <v>93</v>
      </c>
      <c r="Q8" s="21" t="s">
        <v>94</v>
      </c>
      <c r="R8" s="21" t="s">
        <v>95</v>
      </c>
      <c r="S8" s="23" t="s">
        <v>56</v>
      </c>
      <c r="T8" s="21" t="s">
        <v>96</v>
      </c>
      <c r="U8" s="5" t="s">
        <v>58</v>
      </c>
      <c r="V8" s="17" t="s">
        <v>59</v>
      </c>
      <c r="W8" s="5" t="s">
        <v>56</v>
      </c>
      <c r="X8" s="5">
        <v>4</v>
      </c>
      <c r="Y8" s="18">
        <v>46289</v>
      </c>
      <c r="Z8" s="18">
        <v>46289</v>
      </c>
      <c r="AA8" s="5" t="str">
        <f t="shared" si="2"/>
        <v>上海外围模特LL主图</v>
      </c>
      <c r="AB8" s="5" t="str">
        <f t="shared" si="3"/>
        <v>上海外围模特LL资料主图</v>
      </c>
      <c r="AC8" s="5" t="str">
        <f t="shared" si="4"/>
        <v>上海外围模特LL细节图</v>
      </c>
      <c r="AD8" s="5" t="str">
        <f t="shared" si="5"/>
        <v>上海外围模特LL资料细节</v>
      </c>
      <c r="AE8" s="5" t="str">
        <f t="shared" si="6"/>
        <v>上海外围模特LL展示图</v>
      </c>
      <c r="AF8" s="5" t="str">
        <f t="shared" si="7"/>
        <v>上海外围模特LL资料展示</v>
      </c>
      <c r="AG8" s="5" t="str">
        <f t="shared" si="8"/>
        <v>上海外围模特LL资料视频</v>
      </c>
      <c r="AH8" s="5" t="str">
        <f t="shared" si="9"/>
        <v>上海外围模特LL相关资料视频</v>
      </c>
      <c r="AI8" s="5"/>
      <c r="AJ8" s="18"/>
      <c r="AK8" s="5"/>
      <c r="AL8" s="17" t="s">
        <v>60</v>
      </c>
    </row>
    <row r="9" ht="42" customHeight="1" spans="1:38">
      <c r="A9" s="20" t="s">
        <v>40</v>
      </c>
      <c r="B9" s="21" t="s">
        <v>41</v>
      </c>
      <c r="C9" s="21" t="s">
        <v>97</v>
      </c>
      <c r="D9" s="21" t="s">
        <v>98</v>
      </c>
      <c r="E9" s="17" t="s">
        <v>99</v>
      </c>
      <c r="F9" s="22" t="s">
        <v>100</v>
      </c>
      <c r="G9" s="5" t="str">
        <f t="shared" si="0"/>
        <v>浏览上海外围模特纯欲的独立资料、图片说明、内容介绍与相关推荐。</v>
      </c>
      <c r="H9" s="17" t="s">
        <v>101</v>
      </c>
      <c r="I9" s="17" t="s">
        <v>47</v>
      </c>
      <c r="J9" s="17" t="s">
        <v>102</v>
      </c>
      <c r="K9" s="17" t="str">
        <f t="shared" si="1"/>
        <v>以上是上海外围模特纯欲的照片、资料、无需注册登录即可浏览。</v>
      </c>
      <c r="L9" s="17" t="s">
        <v>49</v>
      </c>
      <c r="M9" s="17" t="s">
        <v>50</v>
      </c>
      <c r="N9" s="21" t="s">
        <v>103</v>
      </c>
      <c r="O9" s="21" t="s">
        <v>104</v>
      </c>
      <c r="P9" s="21" t="s">
        <v>105</v>
      </c>
      <c r="Q9" s="21" t="s">
        <v>106</v>
      </c>
      <c r="R9" s="21" t="s">
        <v>107</v>
      </c>
      <c r="S9" s="23" t="s">
        <v>56</v>
      </c>
      <c r="T9" s="21" t="s">
        <v>108</v>
      </c>
      <c r="U9" s="5" t="s">
        <v>58</v>
      </c>
      <c r="V9" s="17" t="s">
        <v>59</v>
      </c>
      <c r="W9" s="5" t="s">
        <v>56</v>
      </c>
      <c r="X9" s="5">
        <v>5</v>
      </c>
      <c r="Y9" s="18">
        <v>46289</v>
      </c>
      <c r="Z9" s="18">
        <v>46289</v>
      </c>
      <c r="AA9" s="5" t="str">
        <f t="shared" si="2"/>
        <v>上海外围模特纯欲主图</v>
      </c>
      <c r="AB9" s="5" t="str">
        <f t="shared" si="3"/>
        <v>上海外围模特纯欲资料主图</v>
      </c>
      <c r="AC9" s="5" t="str">
        <f t="shared" si="4"/>
        <v>上海外围模特纯欲细节图</v>
      </c>
      <c r="AD9" s="5" t="str">
        <f t="shared" si="5"/>
        <v>上海外围模特纯欲资料细节</v>
      </c>
      <c r="AE9" s="5" t="str">
        <f t="shared" si="6"/>
        <v>上海外围模特纯欲展示图</v>
      </c>
      <c r="AF9" s="5" t="str">
        <f t="shared" si="7"/>
        <v>上海外围模特纯欲资料展示</v>
      </c>
      <c r="AG9" s="5" t="str">
        <f t="shared" si="8"/>
        <v>上海外围模特纯欲资料视频</v>
      </c>
      <c r="AH9" s="5" t="str">
        <f t="shared" si="9"/>
        <v>上海外围模特纯欲相关资料视频</v>
      </c>
      <c r="AI9" s="5"/>
      <c r="AJ9" s="18"/>
      <c r="AK9" s="5"/>
      <c r="AL9" s="17" t="s">
        <v>60</v>
      </c>
    </row>
    <row r="10" ht="42" customHeight="1" spans="1:38">
      <c r="A10" s="20" t="s">
        <v>40</v>
      </c>
      <c r="B10" s="21" t="s">
        <v>41</v>
      </c>
      <c r="C10" s="21" t="s">
        <v>109</v>
      </c>
      <c r="D10" s="21" t="s">
        <v>110</v>
      </c>
      <c r="E10" s="17" t="s">
        <v>111</v>
      </c>
      <c r="F10" s="22" t="s">
        <v>112</v>
      </c>
      <c r="G10" s="5" t="str">
        <f t="shared" si="0"/>
        <v>浏览上海外围模特可可的独立资料、图片说明、内容介绍与相关推荐。</v>
      </c>
      <c r="H10" s="17" t="s">
        <v>113</v>
      </c>
      <c r="I10" s="17" t="s">
        <v>47</v>
      </c>
      <c r="J10" s="17" t="s">
        <v>114</v>
      </c>
      <c r="K10" s="17" t="str">
        <f t="shared" si="1"/>
        <v>以上是上海外围模特可可的照片、资料、无需注册登录即可浏览。</v>
      </c>
      <c r="L10" s="17" t="s">
        <v>49</v>
      </c>
      <c r="M10" s="17" t="s">
        <v>50</v>
      </c>
      <c r="N10" s="21" t="s">
        <v>115</v>
      </c>
      <c r="O10" s="21" t="s">
        <v>116</v>
      </c>
      <c r="P10" s="21" t="s">
        <v>117</v>
      </c>
      <c r="Q10" s="21" t="s">
        <v>118</v>
      </c>
      <c r="R10" s="21" t="s">
        <v>119</v>
      </c>
      <c r="S10" s="23" t="s">
        <v>56</v>
      </c>
      <c r="T10" s="21" t="s">
        <v>120</v>
      </c>
      <c r="U10" s="5" t="s">
        <v>58</v>
      </c>
      <c r="V10" s="17" t="s">
        <v>59</v>
      </c>
      <c r="W10" s="5" t="s">
        <v>56</v>
      </c>
      <c r="X10" s="5">
        <v>6</v>
      </c>
      <c r="Y10" s="18">
        <v>46289</v>
      </c>
      <c r="Z10" s="18">
        <v>46289</v>
      </c>
      <c r="AA10" s="5" t="str">
        <f t="shared" si="2"/>
        <v>上海外围模特可可主图</v>
      </c>
      <c r="AB10" s="5" t="str">
        <f t="shared" si="3"/>
        <v>上海外围模特可可资料主图</v>
      </c>
      <c r="AC10" s="5" t="str">
        <f t="shared" si="4"/>
        <v>上海外围模特可可细节图</v>
      </c>
      <c r="AD10" s="5" t="str">
        <f t="shared" si="5"/>
        <v>上海外围模特可可资料细节</v>
      </c>
      <c r="AE10" s="5" t="str">
        <f t="shared" si="6"/>
        <v>上海外围模特可可展示图</v>
      </c>
      <c r="AF10" s="5" t="str">
        <f t="shared" si="7"/>
        <v>上海外围模特可可资料展示</v>
      </c>
      <c r="AG10" s="5" t="str">
        <f t="shared" si="8"/>
        <v>上海外围模特可可资料视频</v>
      </c>
      <c r="AH10" s="5" t="str">
        <f t="shared" si="9"/>
        <v>上海外围模特可可相关资料视频</v>
      </c>
      <c r="AI10" s="5"/>
      <c r="AJ10" s="18"/>
      <c r="AK10" s="5"/>
      <c r="AL10" s="17" t="s">
        <v>60</v>
      </c>
    </row>
    <row r="11" ht="42" customHeight="1" spans="1:38">
      <c r="A11" s="20" t="s">
        <v>40</v>
      </c>
      <c r="B11" s="21" t="s">
        <v>41</v>
      </c>
      <c r="C11" s="21" t="s">
        <v>121</v>
      </c>
      <c r="D11" s="21" t="s">
        <v>122</v>
      </c>
      <c r="E11" s="17" t="s">
        <v>123</v>
      </c>
      <c r="F11" s="22" t="s">
        <v>124</v>
      </c>
      <c r="G11" s="5" t="str">
        <f t="shared" si="0"/>
        <v>浏览上海外围模特丸子的独立资料、图片说明、内容介绍与相关推荐。</v>
      </c>
      <c r="H11" s="17" t="s">
        <v>125</v>
      </c>
      <c r="I11" s="5" t="s">
        <v>126</v>
      </c>
      <c r="J11" s="17" t="s">
        <v>127</v>
      </c>
      <c r="K11" s="17" t="str">
        <f t="shared" si="1"/>
        <v>以上是上海外围模特丸子的照片、资料、无需注册登录即可浏览。</v>
      </c>
      <c r="L11" s="17" t="s">
        <v>49</v>
      </c>
      <c r="M11" s="17" t="s">
        <v>50</v>
      </c>
      <c r="N11" s="21" t="s">
        <v>128</v>
      </c>
      <c r="O11" s="21" t="s">
        <v>129</v>
      </c>
      <c r="P11" s="21" t="s">
        <v>130</v>
      </c>
      <c r="Q11" s="21" t="s">
        <v>131</v>
      </c>
      <c r="R11" s="21" t="s">
        <v>132</v>
      </c>
      <c r="S11" s="23" t="s">
        <v>56</v>
      </c>
      <c r="T11" s="21" t="s">
        <v>133</v>
      </c>
      <c r="U11" s="5" t="s">
        <v>58</v>
      </c>
      <c r="V11" s="17" t="s">
        <v>59</v>
      </c>
      <c r="W11" s="5" t="s">
        <v>56</v>
      </c>
      <c r="X11" s="5">
        <v>7</v>
      </c>
      <c r="Y11" s="18">
        <v>46289</v>
      </c>
      <c r="Z11" s="18">
        <v>46289</v>
      </c>
      <c r="AA11" s="5" t="str">
        <f t="shared" si="2"/>
        <v>上海外围模特丸子主图</v>
      </c>
      <c r="AB11" s="5" t="str">
        <f t="shared" si="3"/>
        <v>上海外围模特丸子资料主图</v>
      </c>
      <c r="AC11" s="5" t="str">
        <f t="shared" si="4"/>
        <v>上海外围模特丸子细节图</v>
      </c>
      <c r="AD11" s="5" t="str">
        <f t="shared" si="5"/>
        <v>上海外围模特丸子资料细节</v>
      </c>
      <c r="AE11" s="5" t="str">
        <f t="shared" si="6"/>
        <v>上海外围模特丸子展示图</v>
      </c>
      <c r="AF11" s="5" t="str">
        <f t="shared" si="7"/>
        <v>上海外围模特丸子资料展示</v>
      </c>
      <c r="AG11" s="5" t="str">
        <f t="shared" si="8"/>
        <v>上海外围模特丸子资料视频</v>
      </c>
      <c r="AH11" s="5" t="str">
        <f t="shared" si="9"/>
        <v>上海外围模特丸子相关资料视频</v>
      </c>
      <c r="AI11" s="5"/>
      <c r="AJ11" s="18"/>
      <c r="AK11" s="5"/>
      <c r="AL11" s="17" t="s">
        <v>60</v>
      </c>
    </row>
    <row r="12" ht="42" customHeight="1" spans="1:38">
      <c r="A12" s="20" t="s">
        <v>40</v>
      </c>
      <c r="B12" s="21" t="s">
        <v>41</v>
      </c>
      <c r="C12" s="21" t="s">
        <v>134</v>
      </c>
      <c r="D12" s="21" t="s">
        <v>135</v>
      </c>
      <c r="E12" s="5" t="s">
        <v>136</v>
      </c>
      <c r="F12" s="22" t="s">
        <v>137</v>
      </c>
      <c r="G12" s="5" t="str">
        <f t="shared" si="0"/>
        <v>浏览上海外围模特的独立资料、图片说明、内容介绍与相关推荐。</v>
      </c>
      <c r="H12" s="17" t="s">
        <v>138</v>
      </c>
      <c r="I12" s="5" t="s">
        <v>139</v>
      </c>
      <c r="J12" s="17" t="s">
        <v>140</v>
      </c>
      <c r="K12" s="17" t="str">
        <f t="shared" si="1"/>
        <v>以上是上海外围模特的照片、资料、无需注册登录即可浏览。</v>
      </c>
      <c r="L12" s="17" t="s">
        <v>49</v>
      </c>
      <c r="M12" s="17" t="s">
        <v>50</v>
      </c>
      <c r="N12" s="21" t="s">
        <v>141</v>
      </c>
      <c r="O12" s="21" t="s">
        <v>142</v>
      </c>
      <c r="P12" s="21" t="s">
        <v>143</v>
      </c>
      <c r="Q12" s="21" t="s">
        <v>144</v>
      </c>
      <c r="R12" s="21" t="s">
        <v>145</v>
      </c>
      <c r="S12" s="23" t="s">
        <v>56</v>
      </c>
      <c r="T12" s="21" t="s">
        <v>146</v>
      </c>
      <c r="U12" s="5" t="s">
        <v>58</v>
      </c>
      <c r="V12" s="17" t="s">
        <v>59</v>
      </c>
      <c r="W12" s="5" t="s">
        <v>56</v>
      </c>
      <c r="X12" s="5">
        <v>8</v>
      </c>
      <c r="Y12" s="18">
        <v>46289</v>
      </c>
      <c r="Z12" s="18">
        <v>46289</v>
      </c>
      <c r="AA12" s="5" t="str">
        <f t="shared" si="2"/>
        <v>上海外围模特主图</v>
      </c>
      <c r="AB12" s="5" t="str">
        <f t="shared" si="3"/>
        <v>上海外围模特资料主图</v>
      </c>
      <c r="AC12" s="5" t="str">
        <f t="shared" si="4"/>
        <v>上海外围模特细节图</v>
      </c>
      <c r="AD12" s="5" t="str">
        <f t="shared" si="5"/>
        <v>上海外围模特资料细节</v>
      </c>
      <c r="AE12" s="5" t="str">
        <f t="shared" si="6"/>
        <v>上海外围模特展示图</v>
      </c>
      <c r="AF12" s="5" t="str">
        <f t="shared" si="7"/>
        <v>上海外围模特资料展示</v>
      </c>
      <c r="AG12" s="5" t="str">
        <f t="shared" si="8"/>
        <v>上海外围模特资料视频</v>
      </c>
      <c r="AH12" s="5" t="str">
        <f t="shared" si="9"/>
        <v>上海外围模特相关资料视频</v>
      </c>
      <c r="AI12" s="5"/>
      <c r="AJ12" s="18"/>
      <c r="AK12" s="5"/>
      <c r="AL12" s="17" t="s">
        <v>60</v>
      </c>
    </row>
    <row r="13" ht="42" customHeight="1" spans="1:38">
      <c r="A13" s="20" t="s">
        <v>40</v>
      </c>
      <c r="B13" s="21" t="s">
        <v>41</v>
      </c>
      <c r="C13" s="21" t="s">
        <v>147</v>
      </c>
      <c r="D13" s="21" t="s">
        <v>148</v>
      </c>
      <c r="E13" s="17" t="s">
        <v>149</v>
      </c>
      <c r="F13" s="22" t="s">
        <v>150</v>
      </c>
      <c r="G13" s="5" t="str">
        <f t="shared" si="0"/>
        <v>浏览上海外围模特蝶语的独立资料、图片说明、内容介绍与相关推荐。</v>
      </c>
      <c r="H13" s="17" t="s">
        <v>151</v>
      </c>
      <c r="I13" s="17" t="s">
        <v>152</v>
      </c>
      <c r="J13" s="17" t="s">
        <v>153</v>
      </c>
      <c r="K13" s="17" t="str">
        <f t="shared" si="1"/>
        <v>以上是上海外围模特蝶语的照片、资料、无需注册登录即可浏览。</v>
      </c>
      <c r="L13" s="17" t="s">
        <v>49</v>
      </c>
      <c r="M13" s="17" t="s">
        <v>50</v>
      </c>
      <c r="N13" s="21" t="s">
        <v>154</v>
      </c>
      <c r="O13" s="21" t="s">
        <v>155</v>
      </c>
      <c r="P13" s="21" t="s">
        <v>156</v>
      </c>
      <c r="Q13" s="21" t="s">
        <v>157</v>
      </c>
      <c r="R13" s="21" t="s">
        <v>158</v>
      </c>
      <c r="S13" s="23" t="s">
        <v>56</v>
      </c>
      <c r="T13" s="21" t="s">
        <v>159</v>
      </c>
      <c r="U13" s="5" t="s">
        <v>58</v>
      </c>
      <c r="V13" s="17" t="s">
        <v>59</v>
      </c>
      <c r="W13" s="5" t="s">
        <v>56</v>
      </c>
      <c r="X13" s="5">
        <v>9</v>
      </c>
      <c r="Y13" s="18">
        <v>46289</v>
      </c>
      <c r="Z13" s="18">
        <v>46289</v>
      </c>
      <c r="AA13" s="5" t="str">
        <f t="shared" si="2"/>
        <v>上海外围模特蝶语主图</v>
      </c>
      <c r="AB13" s="5" t="str">
        <f t="shared" si="3"/>
        <v>上海外围模特蝶语资料主图</v>
      </c>
      <c r="AC13" s="5" t="str">
        <f t="shared" si="4"/>
        <v>上海外围模特蝶语细节图</v>
      </c>
      <c r="AD13" s="5" t="str">
        <f t="shared" si="5"/>
        <v>上海外围模特蝶语资料细节</v>
      </c>
      <c r="AE13" s="5" t="str">
        <f t="shared" si="6"/>
        <v>上海外围模特蝶语展示图</v>
      </c>
      <c r="AF13" s="5" t="str">
        <f t="shared" si="7"/>
        <v>上海外围模特蝶语资料展示</v>
      </c>
      <c r="AG13" s="5" t="str">
        <f t="shared" si="8"/>
        <v>上海外围模特蝶语资料视频</v>
      </c>
      <c r="AH13" s="5" t="str">
        <f t="shared" si="9"/>
        <v>上海外围模特蝶语相关资料视频</v>
      </c>
      <c r="AI13" s="5"/>
      <c r="AJ13" s="18"/>
      <c r="AK13" s="5"/>
      <c r="AL13" s="17" t="s">
        <v>60</v>
      </c>
    </row>
    <row r="14" ht="42" customHeight="1" spans="1:38">
      <c r="A14" s="20" t="s">
        <v>40</v>
      </c>
      <c r="B14" s="21" t="s">
        <v>41</v>
      </c>
      <c r="C14" s="21" t="s">
        <v>160</v>
      </c>
      <c r="D14" s="21" t="s">
        <v>161</v>
      </c>
      <c r="E14" s="17" t="s">
        <v>162</v>
      </c>
      <c r="F14" s="22" t="s">
        <v>163</v>
      </c>
      <c r="G14" s="5" t="str">
        <f t="shared" si="0"/>
        <v>浏览上海外围模特西西的独立资料、图片说明、内容介绍与相关推荐。</v>
      </c>
      <c r="H14" s="17" t="s">
        <v>164</v>
      </c>
      <c r="I14" s="5" t="s">
        <v>165</v>
      </c>
      <c r="J14" s="17" t="s">
        <v>166</v>
      </c>
      <c r="K14" s="17" t="str">
        <f t="shared" si="1"/>
        <v>以上是上海外围模特西西的照片、资料、无需注册登录即可浏览。</v>
      </c>
      <c r="L14" s="17" t="s">
        <v>167</v>
      </c>
      <c r="M14" s="17" t="s">
        <v>50</v>
      </c>
      <c r="N14" s="21" t="s">
        <v>168</v>
      </c>
      <c r="O14" s="21" t="s">
        <v>169</v>
      </c>
      <c r="P14" s="21" t="s">
        <v>170</v>
      </c>
      <c r="Q14" s="21" t="s">
        <v>171</v>
      </c>
      <c r="R14" s="21" t="s">
        <v>172</v>
      </c>
      <c r="S14" s="23" t="s">
        <v>56</v>
      </c>
      <c r="T14" s="21" t="s">
        <v>173</v>
      </c>
      <c r="U14" s="5" t="s">
        <v>58</v>
      </c>
      <c r="V14" s="17" t="s">
        <v>59</v>
      </c>
      <c r="W14" s="5" t="s">
        <v>56</v>
      </c>
      <c r="X14" s="5">
        <v>10</v>
      </c>
      <c r="Y14" s="18">
        <v>46289</v>
      </c>
      <c r="Z14" s="18">
        <v>46289</v>
      </c>
      <c r="AA14" s="5" t="str">
        <f t="shared" si="2"/>
        <v>上海外围模特西西主图</v>
      </c>
      <c r="AB14" s="5" t="str">
        <f t="shared" si="3"/>
        <v>上海外围模特西西资料主图</v>
      </c>
      <c r="AC14" s="5" t="str">
        <f t="shared" si="4"/>
        <v>上海外围模特西西细节图</v>
      </c>
      <c r="AD14" s="5" t="str">
        <f t="shared" si="5"/>
        <v>上海外围模特西西资料细节</v>
      </c>
      <c r="AE14" s="5" t="str">
        <f t="shared" si="6"/>
        <v>上海外围模特西西展示图</v>
      </c>
      <c r="AF14" s="5" t="str">
        <f t="shared" si="7"/>
        <v>上海外围模特西西资料展示</v>
      </c>
      <c r="AG14" s="5" t="str">
        <f t="shared" si="8"/>
        <v>上海外围模特西西资料视频</v>
      </c>
      <c r="AH14" s="5" t="str">
        <f t="shared" si="9"/>
        <v>上海外围模特西西相关资料视频</v>
      </c>
      <c r="AI14" s="5"/>
      <c r="AJ14" s="18"/>
      <c r="AK14" s="5"/>
      <c r="AL14" s="17" t="s">
        <v>60</v>
      </c>
    </row>
    <row r="15" ht="42" customHeight="1" spans="1:38">
      <c r="A15" s="20" t="s">
        <v>174</v>
      </c>
      <c r="B15" s="21" t="s">
        <v>175</v>
      </c>
      <c r="C15" s="21" t="s">
        <v>42</v>
      </c>
      <c r="D15" s="21" t="s">
        <v>43</v>
      </c>
      <c r="E15" s="17" t="s">
        <v>176</v>
      </c>
      <c r="F15" s="22" t="s">
        <v>177</v>
      </c>
      <c r="G15" s="5" t="str">
        <f t="shared" si="0"/>
        <v>浏览广州外围模特老师的独立资料、图片说明、内容介绍与相关推荐。</v>
      </c>
      <c r="H15" s="17" t="s">
        <v>178</v>
      </c>
      <c r="I15" s="5" t="s">
        <v>179</v>
      </c>
      <c r="J15" s="17" t="s">
        <v>180</v>
      </c>
      <c r="K15" s="5" t="str">
        <f t="shared" si="1"/>
        <v>以上是广州外围模特老师的照片、资料、无需注册登录即可浏览。</v>
      </c>
      <c r="L15" s="5" t="s">
        <v>167</v>
      </c>
      <c r="M15" s="17" t="s">
        <v>181</v>
      </c>
      <c r="N15" s="21" t="s">
        <v>182</v>
      </c>
      <c r="O15" s="21" t="s">
        <v>183</v>
      </c>
      <c r="P15" s="21" t="s">
        <v>184</v>
      </c>
      <c r="Q15" s="21" t="s">
        <v>185</v>
      </c>
      <c r="R15" s="21" t="s">
        <v>186</v>
      </c>
      <c r="S15" s="23" t="s">
        <v>56</v>
      </c>
      <c r="T15" s="21" t="s">
        <v>187</v>
      </c>
      <c r="U15" s="5" t="s">
        <v>58</v>
      </c>
      <c r="V15" s="17" t="s">
        <v>59</v>
      </c>
      <c r="W15" s="5" t="s">
        <v>56</v>
      </c>
      <c r="X15" s="5">
        <v>1</v>
      </c>
      <c r="Y15" s="18">
        <v>46289</v>
      </c>
      <c r="Z15" s="18">
        <v>46289</v>
      </c>
      <c r="AA15" s="5" t="str">
        <f t="shared" si="2"/>
        <v>广州外围模特老师主图</v>
      </c>
      <c r="AB15" s="5" t="str">
        <f t="shared" si="3"/>
        <v>广州外围模特老师资料主图</v>
      </c>
      <c r="AC15" s="5" t="str">
        <f t="shared" si="4"/>
        <v>广州外围模特老师细节图</v>
      </c>
      <c r="AD15" s="5" t="str">
        <f t="shared" si="5"/>
        <v>广州外围模特老师资料细节</v>
      </c>
      <c r="AE15" s="5" t="str">
        <f t="shared" si="6"/>
        <v>广州外围模特老师展示图</v>
      </c>
      <c r="AF15" s="5" t="str">
        <f t="shared" si="7"/>
        <v>广州外围模特老师资料展示</v>
      </c>
      <c r="AG15" s="5" t="str">
        <f t="shared" si="8"/>
        <v>广州外围模特老师资料视频</v>
      </c>
      <c r="AH15" s="5" t="str">
        <f t="shared" si="9"/>
        <v>广州外围模特老师相关资料视频</v>
      </c>
      <c r="AI15" s="5"/>
      <c r="AJ15" s="18"/>
      <c r="AK15" s="5"/>
      <c r="AL15" s="17" t="s">
        <v>60</v>
      </c>
    </row>
    <row r="16" ht="42" customHeight="1" spans="1:38">
      <c r="A16" s="20" t="s">
        <v>174</v>
      </c>
      <c r="B16" s="21" t="s">
        <v>175</v>
      </c>
      <c r="C16" s="21" t="s">
        <v>61</v>
      </c>
      <c r="D16" s="21" t="s">
        <v>62</v>
      </c>
      <c r="E16" s="17" t="s">
        <v>188</v>
      </c>
      <c r="F16" s="22" t="s">
        <v>189</v>
      </c>
      <c r="G16" s="5" t="str">
        <f t="shared" si="0"/>
        <v>浏览广州外围模特小雨的独立资料、图片说明、内容介绍与相关推荐。</v>
      </c>
      <c r="H16" s="17" t="s">
        <v>190</v>
      </c>
      <c r="I16" s="17" t="s">
        <v>191</v>
      </c>
      <c r="J16" s="17" t="s">
        <v>192</v>
      </c>
      <c r="K16" s="5" t="str">
        <f t="shared" si="1"/>
        <v>以上是广州外围模特小雨的照片、资料、无需注册登录即可浏览。</v>
      </c>
      <c r="L16" s="5" t="s">
        <v>167</v>
      </c>
      <c r="M16" s="17" t="s">
        <v>181</v>
      </c>
      <c r="N16" s="21" t="s">
        <v>193</v>
      </c>
      <c r="O16" s="21" t="s">
        <v>194</v>
      </c>
      <c r="P16" s="21" t="s">
        <v>195</v>
      </c>
      <c r="Q16" s="21" t="s">
        <v>196</v>
      </c>
      <c r="R16" s="21" t="s">
        <v>197</v>
      </c>
      <c r="S16" s="23" t="s">
        <v>56</v>
      </c>
      <c r="T16" s="21" t="s">
        <v>198</v>
      </c>
      <c r="U16" s="5" t="s">
        <v>58</v>
      </c>
      <c r="V16" s="17" t="s">
        <v>59</v>
      </c>
      <c r="W16" s="5" t="s">
        <v>56</v>
      </c>
      <c r="X16" s="5">
        <v>2</v>
      </c>
      <c r="Y16" s="18">
        <v>46289</v>
      </c>
      <c r="Z16" s="18">
        <v>46289</v>
      </c>
      <c r="AA16" s="5" t="str">
        <f t="shared" si="2"/>
        <v>广州外围模特小雨主图</v>
      </c>
      <c r="AB16" s="5" t="str">
        <f t="shared" si="3"/>
        <v>广州外围模特小雨资料主图</v>
      </c>
      <c r="AC16" s="5" t="str">
        <f t="shared" si="4"/>
        <v>广州外围模特小雨细节图</v>
      </c>
      <c r="AD16" s="5" t="str">
        <f t="shared" si="5"/>
        <v>广州外围模特小雨资料细节</v>
      </c>
      <c r="AE16" s="5" t="str">
        <f t="shared" si="6"/>
        <v>广州外围模特小雨展示图</v>
      </c>
      <c r="AF16" s="5" t="str">
        <f t="shared" si="7"/>
        <v>广州外围模特小雨资料展示</v>
      </c>
      <c r="AG16" s="5" t="str">
        <f t="shared" si="8"/>
        <v>广州外围模特小雨资料视频</v>
      </c>
      <c r="AH16" s="5" t="str">
        <f t="shared" si="9"/>
        <v>广州外围模特小雨相关资料视频</v>
      </c>
      <c r="AI16" s="5"/>
      <c r="AJ16" s="18"/>
      <c r="AK16" s="5"/>
      <c r="AL16" s="17" t="s">
        <v>60</v>
      </c>
    </row>
    <row r="17" ht="42" customHeight="1" spans="1:38">
      <c r="A17" s="20" t="s">
        <v>174</v>
      </c>
      <c r="B17" s="21" t="s">
        <v>175</v>
      </c>
      <c r="C17" s="21" t="s">
        <v>73</v>
      </c>
      <c r="D17" s="21" t="s">
        <v>74</v>
      </c>
      <c r="E17" s="17" t="s">
        <v>199</v>
      </c>
      <c r="F17" s="22" t="s">
        <v>200</v>
      </c>
      <c r="G17" s="5" t="str">
        <f t="shared" si="0"/>
        <v>浏览广州外围模特喵喵的独立资料、图片说明、内容介绍与相关推荐。</v>
      </c>
      <c r="H17" s="17" t="s">
        <v>201</v>
      </c>
      <c r="I17" s="5" t="s">
        <v>139</v>
      </c>
      <c r="J17" s="17" t="s">
        <v>202</v>
      </c>
      <c r="K17" s="5" t="str">
        <f t="shared" si="1"/>
        <v>以上是广州外围模特喵喵的照片、资料、无需注册登录即可浏览。</v>
      </c>
      <c r="L17" s="5" t="s">
        <v>167</v>
      </c>
      <c r="M17" s="17" t="s">
        <v>181</v>
      </c>
      <c r="N17" s="21" t="s">
        <v>203</v>
      </c>
      <c r="O17" s="21" t="s">
        <v>204</v>
      </c>
      <c r="P17" s="21" t="s">
        <v>205</v>
      </c>
      <c r="Q17" s="21" t="s">
        <v>206</v>
      </c>
      <c r="R17" s="21" t="s">
        <v>207</v>
      </c>
      <c r="S17" s="23" t="s">
        <v>56</v>
      </c>
      <c r="T17" s="21" t="s">
        <v>208</v>
      </c>
      <c r="U17" s="5" t="s">
        <v>58</v>
      </c>
      <c r="V17" s="17" t="s">
        <v>59</v>
      </c>
      <c r="W17" s="5" t="s">
        <v>56</v>
      </c>
      <c r="X17" s="5">
        <v>3</v>
      </c>
      <c r="Y17" s="18">
        <v>46289</v>
      </c>
      <c r="Z17" s="18">
        <v>46289</v>
      </c>
      <c r="AA17" s="5" t="str">
        <f t="shared" si="2"/>
        <v>广州外围模特喵喵主图</v>
      </c>
      <c r="AB17" s="5" t="str">
        <f t="shared" si="3"/>
        <v>广州外围模特喵喵资料主图</v>
      </c>
      <c r="AC17" s="5" t="str">
        <f t="shared" si="4"/>
        <v>广州外围模特喵喵细节图</v>
      </c>
      <c r="AD17" s="5" t="str">
        <f t="shared" si="5"/>
        <v>广州外围模特喵喵资料细节</v>
      </c>
      <c r="AE17" s="5" t="str">
        <f t="shared" si="6"/>
        <v>广州外围模特喵喵展示图</v>
      </c>
      <c r="AF17" s="5" t="str">
        <f t="shared" si="7"/>
        <v>广州外围模特喵喵资料展示</v>
      </c>
      <c r="AG17" s="5" t="str">
        <f t="shared" si="8"/>
        <v>广州外围模特喵喵资料视频</v>
      </c>
      <c r="AH17" s="5" t="str">
        <f t="shared" si="9"/>
        <v>广州外围模特喵喵相关资料视频</v>
      </c>
      <c r="AI17" s="5"/>
      <c r="AJ17" s="18"/>
      <c r="AK17" s="5"/>
      <c r="AL17" s="17" t="s">
        <v>60</v>
      </c>
    </row>
    <row r="18" ht="42" customHeight="1" spans="1:38">
      <c r="A18" s="20" t="s">
        <v>174</v>
      </c>
      <c r="B18" s="21" t="s">
        <v>175</v>
      </c>
      <c r="C18" s="21" t="s">
        <v>85</v>
      </c>
      <c r="D18" s="21" t="s">
        <v>86</v>
      </c>
      <c r="E18" s="17" t="s">
        <v>209</v>
      </c>
      <c r="F18" s="22" t="s">
        <v>210</v>
      </c>
      <c r="G18" s="5" t="str">
        <f t="shared" si="0"/>
        <v>浏览广州外围模特凯莉的独立资料、图片说明、内容介绍与相关推荐。</v>
      </c>
      <c r="H18" s="17" t="s">
        <v>211</v>
      </c>
      <c r="I18" s="5" t="s">
        <v>212</v>
      </c>
      <c r="J18" s="17" t="s">
        <v>213</v>
      </c>
      <c r="K18" s="5" t="str">
        <f t="shared" si="1"/>
        <v>以上是广州外围模特凯莉的照片、资料、无需注册登录即可浏览。</v>
      </c>
      <c r="L18" s="5" t="s">
        <v>167</v>
      </c>
      <c r="M18" s="17" t="s">
        <v>181</v>
      </c>
      <c r="N18" s="21" t="s">
        <v>214</v>
      </c>
      <c r="O18" s="21" t="s">
        <v>215</v>
      </c>
      <c r="P18" s="21" t="s">
        <v>216</v>
      </c>
      <c r="Q18" s="21" t="s">
        <v>217</v>
      </c>
      <c r="R18" s="21" t="s">
        <v>218</v>
      </c>
      <c r="S18" s="23" t="s">
        <v>56</v>
      </c>
      <c r="T18" s="21" t="s">
        <v>219</v>
      </c>
      <c r="U18" s="5" t="s">
        <v>58</v>
      </c>
      <c r="V18" s="17" t="s">
        <v>59</v>
      </c>
      <c r="W18" s="5" t="s">
        <v>56</v>
      </c>
      <c r="X18" s="5">
        <v>4</v>
      </c>
      <c r="Y18" s="18">
        <v>46289</v>
      </c>
      <c r="Z18" s="18">
        <v>46289</v>
      </c>
      <c r="AA18" s="5" t="str">
        <f t="shared" si="2"/>
        <v>广州外围模特凯莉主图</v>
      </c>
      <c r="AB18" s="5" t="str">
        <f t="shared" si="3"/>
        <v>广州外围模特凯莉资料主图</v>
      </c>
      <c r="AC18" s="5" t="str">
        <f t="shared" si="4"/>
        <v>广州外围模特凯莉细节图</v>
      </c>
      <c r="AD18" s="5" t="str">
        <f t="shared" si="5"/>
        <v>广州外围模特凯莉资料细节</v>
      </c>
      <c r="AE18" s="5" t="str">
        <f t="shared" si="6"/>
        <v>广州外围模特凯莉展示图</v>
      </c>
      <c r="AF18" s="5" t="str">
        <f t="shared" si="7"/>
        <v>广州外围模特凯莉资料展示</v>
      </c>
      <c r="AG18" s="5" t="str">
        <f t="shared" si="8"/>
        <v>广州外围模特凯莉资料视频</v>
      </c>
      <c r="AH18" s="5" t="str">
        <f t="shared" si="9"/>
        <v>广州外围模特凯莉相关资料视频</v>
      </c>
      <c r="AI18" s="5"/>
      <c r="AJ18" s="18"/>
      <c r="AK18" s="5"/>
      <c r="AL18" s="17" t="s">
        <v>60</v>
      </c>
    </row>
    <row r="19" ht="42" customHeight="1" spans="1:38">
      <c r="A19" s="20" t="s">
        <v>174</v>
      </c>
      <c r="B19" s="21" t="s">
        <v>175</v>
      </c>
      <c r="C19" s="21" t="s">
        <v>97</v>
      </c>
      <c r="D19" s="21" t="s">
        <v>98</v>
      </c>
      <c r="E19" s="17" t="s">
        <v>220</v>
      </c>
      <c r="F19" s="22" t="s">
        <v>221</v>
      </c>
      <c r="G19" s="5" t="str">
        <f t="shared" si="0"/>
        <v>浏览广州外围模特秋秋的独立资料、图片说明、内容介绍与相关推荐。</v>
      </c>
      <c r="H19" s="17" t="s">
        <v>222</v>
      </c>
      <c r="I19" s="17" t="s">
        <v>47</v>
      </c>
      <c r="J19" s="17" t="s">
        <v>223</v>
      </c>
      <c r="K19" s="5" t="str">
        <f t="shared" si="1"/>
        <v>以上是广州外围模特秋秋的照片、资料、无需注册登录即可浏览。</v>
      </c>
      <c r="L19" s="5" t="s">
        <v>167</v>
      </c>
      <c r="M19" s="17" t="s">
        <v>181</v>
      </c>
      <c r="N19" s="21" t="s">
        <v>224</v>
      </c>
      <c r="O19" s="21" t="s">
        <v>225</v>
      </c>
      <c r="P19" s="21" t="s">
        <v>226</v>
      </c>
      <c r="Q19" s="21" t="s">
        <v>227</v>
      </c>
      <c r="R19" s="21" t="s">
        <v>228</v>
      </c>
      <c r="S19" s="23" t="s">
        <v>56</v>
      </c>
      <c r="T19" s="21" t="s">
        <v>229</v>
      </c>
      <c r="U19" s="5" t="s">
        <v>58</v>
      </c>
      <c r="V19" s="17" t="s">
        <v>59</v>
      </c>
      <c r="W19" s="5" t="s">
        <v>56</v>
      </c>
      <c r="X19" s="5">
        <v>5</v>
      </c>
      <c r="Y19" s="18">
        <v>46289</v>
      </c>
      <c r="Z19" s="18">
        <v>46289</v>
      </c>
      <c r="AA19" s="5" t="str">
        <f t="shared" si="2"/>
        <v>广州外围模特秋秋主图</v>
      </c>
      <c r="AB19" s="5" t="str">
        <f t="shared" si="3"/>
        <v>广州外围模特秋秋资料主图</v>
      </c>
      <c r="AC19" s="5" t="str">
        <f t="shared" si="4"/>
        <v>广州外围模特秋秋细节图</v>
      </c>
      <c r="AD19" s="5" t="str">
        <f t="shared" si="5"/>
        <v>广州外围模特秋秋资料细节</v>
      </c>
      <c r="AE19" s="5" t="str">
        <f t="shared" si="6"/>
        <v>广州外围模特秋秋展示图</v>
      </c>
      <c r="AF19" s="5" t="str">
        <f t="shared" si="7"/>
        <v>广州外围模特秋秋资料展示</v>
      </c>
      <c r="AG19" s="5" t="str">
        <f t="shared" si="8"/>
        <v>广州外围模特秋秋资料视频</v>
      </c>
      <c r="AH19" s="5" t="str">
        <f t="shared" si="9"/>
        <v>广州外围模特秋秋相关资料视频</v>
      </c>
      <c r="AI19" s="5"/>
      <c r="AJ19" s="18"/>
      <c r="AK19" s="5"/>
      <c r="AL19" s="17" t="s">
        <v>60</v>
      </c>
    </row>
    <row r="20" ht="42" customHeight="1" spans="1:38">
      <c r="A20" s="20" t="s">
        <v>174</v>
      </c>
      <c r="B20" s="21" t="s">
        <v>175</v>
      </c>
      <c r="C20" s="21" t="s">
        <v>109</v>
      </c>
      <c r="D20" s="21" t="s">
        <v>110</v>
      </c>
      <c r="E20" s="17" t="s">
        <v>230</v>
      </c>
      <c r="F20" s="22" t="s">
        <v>231</v>
      </c>
      <c r="G20" s="5" t="str">
        <f t="shared" si="0"/>
        <v>浏览广州外围模特林西西的独立资料、图片说明、内容介绍与相关推荐。</v>
      </c>
      <c r="H20" s="17" t="s">
        <v>232</v>
      </c>
      <c r="I20" s="5" t="s">
        <v>179</v>
      </c>
      <c r="J20" s="17" t="s">
        <v>233</v>
      </c>
      <c r="K20" s="5" t="str">
        <f t="shared" si="1"/>
        <v>以上是广州外围模特林西西的照片、资料、无需注册登录即可浏览。</v>
      </c>
      <c r="L20" s="5" t="s">
        <v>167</v>
      </c>
      <c r="M20" s="17" t="s">
        <v>181</v>
      </c>
      <c r="N20" s="21" t="s">
        <v>234</v>
      </c>
      <c r="O20" s="21" t="s">
        <v>235</v>
      </c>
      <c r="P20" s="21" t="s">
        <v>236</v>
      </c>
      <c r="Q20" s="21" t="s">
        <v>237</v>
      </c>
      <c r="R20" s="21" t="s">
        <v>238</v>
      </c>
      <c r="S20" s="23" t="s">
        <v>56</v>
      </c>
      <c r="T20" s="21" t="s">
        <v>239</v>
      </c>
      <c r="U20" s="5" t="s">
        <v>58</v>
      </c>
      <c r="V20" s="17" t="s">
        <v>59</v>
      </c>
      <c r="W20" s="5" t="s">
        <v>56</v>
      </c>
      <c r="X20" s="5">
        <v>6</v>
      </c>
      <c r="Y20" s="18">
        <v>46289</v>
      </c>
      <c r="Z20" s="18">
        <v>46289</v>
      </c>
      <c r="AA20" s="5" t="str">
        <f t="shared" si="2"/>
        <v>广州外围模特林西西主图</v>
      </c>
      <c r="AB20" s="5" t="str">
        <f t="shared" si="3"/>
        <v>广州外围模特林西西资料主图</v>
      </c>
      <c r="AC20" s="5" t="str">
        <f t="shared" si="4"/>
        <v>广州外围模特林西西细节图</v>
      </c>
      <c r="AD20" s="5" t="str">
        <f t="shared" si="5"/>
        <v>广州外围模特林西西资料细节</v>
      </c>
      <c r="AE20" s="5" t="str">
        <f t="shared" si="6"/>
        <v>广州外围模特林西西展示图</v>
      </c>
      <c r="AF20" s="5" t="str">
        <f t="shared" si="7"/>
        <v>广州外围模特林西西资料展示</v>
      </c>
      <c r="AG20" s="5" t="str">
        <f t="shared" si="8"/>
        <v>广州外围模特林西西资料视频</v>
      </c>
      <c r="AH20" s="5" t="str">
        <f t="shared" si="9"/>
        <v>广州外围模特林西西相关资料视频</v>
      </c>
      <c r="AI20" s="5"/>
      <c r="AJ20" s="18"/>
      <c r="AK20" s="5"/>
      <c r="AL20" s="17" t="s">
        <v>60</v>
      </c>
    </row>
    <row r="21" ht="42" customHeight="1" spans="1:38">
      <c r="A21" s="20" t="s">
        <v>174</v>
      </c>
      <c r="B21" s="21" t="s">
        <v>175</v>
      </c>
      <c r="C21" s="21" t="s">
        <v>121</v>
      </c>
      <c r="D21" s="21" t="s">
        <v>122</v>
      </c>
      <c r="E21" s="17" t="s">
        <v>240</v>
      </c>
      <c r="F21" s="22" t="s">
        <v>241</v>
      </c>
      <c r="G21" s="5" t="str">
        <f t="shared" si="0"/>
        <v>浏览广州外围模特舒舒的独立资料、图片说明、内容介绍与相关推荐。</v>
      </c>
      <c r="H21" s="17" t="s">
        <v>242</v>
      </c>
      <c r="I21" s="5" t="s">
        <v>126</v>
      </c>
      <c r="J21" s="17" t="s">
        <v>243</v>
      </c>
      <c r="K21" s="5" t="str">
        <f t="shared" si="1"/>
        <v>以上是广州外围模特舒舒的照片、资料、无需注册登录即可浏览。</v>
      </c>
      <c r="L21" s="5" t="s">
        <v>167</v>
      </c>
      <c r="M21" s="17" t="s">
        <v>181</v>
      </c>
      <c r="N21" s="21" t="s">
        <v>244</v>
      </c>
      <c r="O21" s="21" t="s">
        <v>245</v>
      </c>
      <c r="P21" s="21" t="s">
        <v>246</v>
      </c>
      <c r="Q21" s="21" t="s">
        <v>247</v>
      </c>
      <c r="R21" s="21" t="s">
        <v>248</v>
      </c>
      <c r="S21" s="23" t="s">
        <v>56</v>
      </c>
      <c r="T21" s="21" t="s">
        <v>249</v>
      </c>
      <c r="U21" s="5" t="s">
        <v>58</v>
      </c>
      <c r="V21" s="17" t="s">
        <v>59</v>
      </c>
      <c r="W21" s="5" t="s">
        <v>56</v>
      </c>
      <c r="X21" s="5">
        <v>7</v>
      </c>
      <c r="Y21" s="18">
        <v>46289</v>
      </c>
      <c r="Z21" s="18">
        <v>46289</v>
      </c>
      <c r="AA21" s="5" t="str">
        <f t="shared" si="2"/>
        <v>广州外围模特舒舒主图</v>
      </c>
      <c r="AB21" s="5" t="str">
        <f t="shared" si="3"/>
        <v>广州外围模特舒舒资料主图</v>
      </c>
      <c r="AC21" s="5" t="str">
        <f t="shared" si="4"/>
        <v>广州外围模特舒舒细节图</v>
      </c>
      <c r="AD21" s="5" t="str">
        <f t="shared" si="5"/>
        <v>广州外围模特舒舒资料细节</v>
      </c>
      <c r="AE21" s="5" t="str">
        <f t="shared" si="6"/>
        <v>广州外围模特舒舒展示图</v>
      </c>
      <c r="AF21" s="5" t="str">
        <f t="shared" si="7"/>
        <v>广州外围模特舒舒资料展示</v>
      </c>
      <c r="AG21" s="5" t="str">
        <f t="shared" si="8"/>
        <v>广州外围模特舒舒资料视频</v>
      </c>
      <c r="AH21" s="5" t="str">
        <f t="shared" si="9"/>
        <v>广州外围模特舒舒相关资料视频</v>
      </c>
      <c r="AI21" s="5"/>
      <c r="AJ21" s="18"/>
      <c r="AK21" s="5"/>
      <c r="AL21" s="17" t="s">
        <v>60</v>
      </c>
    </row>
    <row r="22" ht="42" customHeight="1" spans="1:38">
      <c r="A22" s="20" t="s">
        <v>174</v>
      </c>
      <c r="B22" s="21" t="s">
        <v>175</v>
      </c>
      <c r="C22" s="21" t="s">
        <v>134</v>
      </c>
      <c r="D22" s="21" t="s">
        <v>135</v>
      </c>
      <c r="E22" s="17" t="s">
        <v>250</v>
      </c>
      <c r="F22" s="22" t="s">
        <v>251</v>
      </c>
      <c r="G22" s="5" t="str">
        <f t="shared" si="0"/>
        <v>浏览广州外围模特小雅的独立资料、图片说明、内容介绍与相关推荐。</v>
      </c>
      <c r="H22" s="17" t="s">
        <v>252</v>
      </c>
      <c r="I22" s="5" t="s">
        <v>139</v>
      </c>
      <c r="J22" s="17" t="s">
        <v>253</v>
      </c>
      <c r="K22" s="5" t="str">
        <f t="shared" si="1"/>
        <v>以上是广州外围模特小雅的照片、资料、无需注册登录即可浏览。</v>
      </c>
      <c r="L22" s="5" t="s">
        <v>167</v>
      </c>
      <c r="M22" s="17" t="s">
        <v>181</v>
      </c>
      <c r="N22" s="21" t="s">
        <v>254</v>
      </c>
      <c r="O22" s="21" t="s">
        <v>255</v>
      </c>
      <c r="P22" s="21" t="s">
        <v>256</v>
      </c>
      <c r="Q22" s="21" t="s">
        <v>257</v>
      </c>
      <c r="R22" s="21" t="s">
        <v>258</v>
      </c>
      <c r="S22" s="23" t="s">
        <v>56</v>
      </c>
      <c r="T22" s="21" t="s">
        <v>259</v>
      </c>
      <c r="U22" s="5" t="s">
        <v>58</v>
      </c>
      <c r="V22" s="17" t="s">
        <v>59</v>
      </c>
      <c r="W22" s="5" t="s">
        <v>56</v>
      </c>
      <c r="X22" s="5">
        <v>8</v>
      </c>
      <c r="Y22" s="18">
        <v>46289</v>
      </c>
      <c r="Z22" s="18">
        <v>46289</v>
      </c>
      <c r="AA22" s="5" t="str">
        <f t="shared" si="2"/>
        <v>广州外围模特小雅主图</v>
      </c>
      <c r="AB22" s="5" t="str">
        <f t="shared" si="3"/>
        <v>广州外围模特小雅资料主图</v>
      </c>
      <c r="AC22" s="5" t="str">
        <f t="shared" si="4"/>
        <v>广州外围模特小雅细节图</v>
      </c>
      <c r="AD22" s="5" t="str">
        <f t="shared" si="5"/>
        <v>广州外围模特小雅资料细节</v>
      </c>
      <c r="AE22" s="5" t="str">
        <f t="shared" si="6"/>
        <v>广州外围模特小雅展示图</v>
      </c>
      <c r="AF22" s="5" t="str">
        <f t="shared" si="7"/>
        <v>广州外围模特小雅资料展示</v>
      </c>
      <c r="AG22" s="5" t="str">
        <f t="shared" si="8"/>
        <v>广州外围模特小雅资料视频</v>
      </c>
      <c r="AH22" s="5" t="str">
        <f t="shared" si="9"/>
        <v>广州外围模特小雅相关资料视频</v>
      </c>
      <c r="AI22" s="5"/>
      <c r="AJ22" s="18"/>
      <c r="AK22" s="5"/>
      <c r="AL22" s="17" t="s">
        <v>60</v>
      </c>
    </row>
    <row r="23" ht="42" customHeight="1" spans="1:38">
      <c r="A23" s="20" t="s">
        <v>174</v>
      </c>
      <c r="B23" s="21" t="s">
        <v>175</v>
      </c>
      <c r="C23" s="21" t="s">
        <v>147</v>
      </c>
      <c r="D23" s="21" t="s">
        <v>148</v>
      </c>
      <c r="E23" s="17" t="s">
        <v>260</v>
      </c>
      <c r="F23" s="22" t="s">
        <v>261</v>
      </c>
      <c r="G23" s="5" t="str">
        <f t="shared" si="0"/>
        <v>浏览广州外围模特林晚的独立资料、图片说明、内容介绍与相关推荐。</v>
      </c>
      <c r="H23" s="17" t="s">
        <v>262</v>
      </c>
      <c r="I23" s="17" t="s">
        <v>212</v>
      </c>
      <c r="J23" s="17" t="s">
        <v>263</v>
      </c>
      <c r="K23" s="5" t="str">
        <f t="shared" si="1"/>
        <v>以上是广州外围模特林晚的照片、资料、无需注册登录即可浏览。</v>
      </c>
      <c r="L23" s="5" t="s">
        <v>167</v>
      </c>
      <c r="M23" s="17" t="s">
        <v>181</v>
      </c>
      <c r="N23" s="21" t="s">
        <v>264</v>
      </c>
      <c r="O23" s="21" t="s">
        <v>265</v>
      </c>
      <c r="P23" s="21" t="s">
        <v>266</v>
      </c>
      <c r="Q23" s="21" t="s">
        <v>267</v>
      </c>
      <c r="R23" s="21" t="s">
        <v>268</v>
      </c>
      <c r="S23" s="23" t="s">
        <v>56</v>
      </c>
      <c r="T23" s="21" t="s">
        <v>269</v>
      </c>
      <c r="U23" s="5" t="s">
        <v>58</v>
      </c>
      <c r="V23" s="17" t="s">
        <v>59</v>
      </c>
      <c r="W23" s="5" t="s">
        <v>56</v>
      </c>
      <c r="X23" s="5">
        <v>9</v>
      </c>
      <c r="Y23" s="18">
        <v>46289</v>
      </c>
      <c r="Z23" s="18">
        <v>46289</v>
      </c>
      <c r="AA23" s="5" t="str">
        <f t="shared" si="2"/>
        <v>广州外围模特林晚主图</v>
      </c>
      <c r="AB23" s="5" t="str">
        <f t="shared" si="3"/>
        <v>广州外围模特林晚资料主图</v>
      </c>
      <c r="AC23" s="5" t="str">
        <f t="shared" si="4"/>
        <v>广州外围模特林晚细节图</v>
      </c>
      <c r="AD23" s="5" t="str">
        <f t="shared" si="5"/>
        <v>广州外围模特林晚资料细节</v>
      </c>
      <c r="AE23" s="5" t="str">
        <f t="shared" si="6"/>
        <v>广州外围模特林晚展示图</v>
      </c>
      <c r="AF23" s="5" t="str">
        <f t="shared" si="7"/>
        <v>广州外围模特林晚资料展示</v>
      </c>
      <c r="AG23" s="5" t="str">
        <f t="shared" si="8"/>
        <v>广州外围模特林晚资料视频</v>
      </c>
      <c r="AH23" s="5" t="str">
        <f t="shared" si="9"/>
        <v>广州外围模特林晚相关资料视频</v>
      </c>
      <c r="AI23" s="5"/>
      <c r="AJ23" s="18"/>
      <c r="AK23" s="5"/>
      <c r="AL23" s="17" t="s">
        <v>60</v>
      </c>
    </row>
    <row r="24" ht="42" customHeight="1" spans="1:38">
      <c r="A24" s="20" t="s">
        <v>174</v>
      </c>
      <c r="B24" s="21" t="s">
        <v>175</v>
      </c>
      <c r="C24" s="21" t="s">
        <v>160</v>
      </c>
      <c r="D24" s="21" t="s">
        <v>161</v>
      </c>
      <c r="E24" s="17" t="s">
        <v>270</v>
      </c>
      <c r="F24" s="22" t="s">
        <v>271</v>
      </c>
      <c r="G24" s="5" t="str">
        <f t="shared" si="0"/>
        <v>浏览广州外围模特羽莱的独立资料、图片说明、内容介绍与相关推荐。</v>
      </c>
      <c r="H24" s="17" t="s">
        <v>272</v>
      </c>
      <c r="I24" s="17" t="s">
        <v>212</v>
      </c>
      <c r="J24" s="17" t="s">
        <v>273</v>
      </c>
      <c r="K24" s="5" t="str">
        <f t="shared" si="1"/>
        <v>以上是广州外围模特羽莱的照片、资料、无需注册登录即可浏览。</v>
      </c>
      <c r="L24" s="17" t="s">
        <v>167</v>
      </c>
      <c r="M24" s="17" t="s">
        <v>181</v>
      </c>
      <c r="N24" s="21" t="s">
        <v>274</v>
      </c>
      <c r="O24" s="21" t="s">
        <v>275</v>
      </c>
      <c r="P24" s="21" t="s">
        <v>276</v>
      </c>
      <c r="Q24" s="21" t="s">
        <v>277</v>
      </c>
      <c r="R24" s="21" t="s">
        <v>278</v>
      </c>
      <c r="S24" s="23" t="s">
        <v>56</v>
      </c>
      <c r="T24" s="21" t="s">
        <v>279</v>
      </c>
      <c r="U24" s="5" t="s">
        <v>58</v>
      </c>
      <c r="V24" s="17" t="s">
        <v>59</v>
      </c>
      <c r="W24" s="5" t="s">
        <v>56</v>
      </c>
      <c r="X24" s="5">
        <v>10</v>
      </c>
      <c r="Y24" s="18">
        <v>46289</v>
      </c>
      <c r="Z24" s="18">
        <v>46289</v>
      </c>
      <c r="AA24" s="5" t="str">
        <f t="shared" si="2"/>
        <v>广州外围模特羽莱主图</v>
      </c>
      <c r="AB24" s="5" t="str">
        <f t="shared" si="3"/>
        <v>广州外围模特羽莱资料主图</v>
      </c>
      <c r="AC24" s="5" t="str">
        <f t="shared" si="4"/>
        <v>广州外围模特羽莱细节图</v>
      </c>
      <c r="AD24" s="5" t="str">
        <f t="shared" si="5"/>
        <v>广州外围模特羽莱资料细节</v>
      </c>
      <c r="AE24" s="5" t="str">
        <f t="shared" si="6"/>
        <v>广州外围模特羽莱展示图</v>
      </c>
      <c r="AF24" s="5" t="str">
        <f t="shared" si="7"/>
        <v>广州外围模特羽莱资料展示</v>
      </c>
      <c r="AG24" s="5" t="str">
        <f t="shared" si="8"/>
        <v>广州外围模特羽莱资料视频</v>
      </c>
      <c r="AH24" s="5" t="str">
        <f t="shared" si="9"/>
        <v>广州外围模特羽莱相关资料视频</v>
      </c>
      <c r="AI24" s="5"/>
      <c r="AJ24" s="18"/>
      <c r="AK24" s="5"/>
      <c r="AL24" s="17" t="s">
        <v>60</v>
      </c>
    </row>
    <row r="25" ht="42" customHeight="1" spans="1:38">
      <c r="A25" s="20" t="s">
        <v>280</v>
      </c>
      <c r="B25" s="21" t="s">
        <v>281</v>
      </c>
      <c r="C25" s="21" t="s">
        <v>42</v>
      </c>
      <c r="D25" s="21" t="s">
        <v>43</v>
      </c>
      <c r="E25" s="17" t="s">
        <v>282</v>
      </c>
      <c r="F25" s="22" t="s">
        <v>283</v>
      </c>
      <c r="G25" s="5" t="str">
        <f t="shared" si="0"/>
        <v>浏览深圳外围模特媛媛的独立资料、图片说明、内容介绍与相关推荐。</v>
      </c>
      <c r="H25" s="17" t="s">
        <v>284</v>
      </c>
      <c r="I25" s="17" t="s">
        <v>47</v>
      </c>
      <c r="J25" s="17" t="s">
        <v>285</v>
      </c>
      <c r="K25" s="5" t="str">
        <f t="shared" si="1"/>
        <v>以上是深圳外围模特媛媛的照片、资料、无需注册登录即可浏览。</v>
      </c>
      <c r="L25" s="17" t="s">
        <v>286</v>
      </c>
      <c r="M25" s="17" t="s">
        <v>287</v>
      </c>
      <c r="N25" s="21" t="s">
        <v>288</v>
      </c>
      <c r="O25" s="21" t="s">
        <v>289</v>
      </c>
      <c r="P25" s="21" t="s">
        <v>290</v>
      </c>
      <c r="Q25" s="21" t="s">
        <v>291</v>
      </c>
      <c r="R25" s="21" t="s">
        <v>292</v>
      </c>
      <c r="S25" s="23" t="s">
        <v>56</v>
      </c>
      <c r="T25" s="21" t="s">
        <v>293</v>
      </c>
      <c r="U25" s="5" t="s">
        <v>58</v>
      </c>
      <c r="V25" s="17" t="s">
        <v>59</v>
      </c>
      <c r="W25" s="5" t="s">
        <v>56</v>
      </c>
      <c r="X25" s="5">
        <v>1</v>
      </c>
      <c r="Y25" s="18">
        <v>46289</v>
      </c>
      <c r="Z25" s="18">
        <v>46289</v>
      </c>
      <c r="AA25" s="5" t="str">
        <f t="shared" si="2"/>
        <v>深圳外围模特媛媛主图</v>
      </c>
      <c r="AB25" s="5" t="str">
        <f t="shared" si="3"/>
        <v>深圳外围模特媛媛资料主图</v>
      </c>
      <c r="AC25" s="5" t="str">
        <f t="shared" si="4"/>
        <v>深圳外围模特媛媛细节图</v>
      </c>
      <c r="AD25" s="5" t="str">
        <f t="shared" si="5"/>
        <v>深圳外围模特媛媛资料细节</v>
      </c>
      <c r="AE25" s="5" t="str">
        <f t="shared" si="6"/>
        <v>深圳外围模特媛媛展示图</v>
      </c>
      <c r="AF25" s="5" t="str">
        <f t="shared" si="7"/>
        <v>深圳外围模特媛媛资料展示</v>
      </c>
      <c r="AG25" s="5" t="str">
        <f t="shared" si="8"/>
        <v>深圳外围模特媛媛资料视频</v>
      </c>
      <c r="AH25" s="5" t="str">
        <f t="shared" si="9"/>
        <v>深圳外围模特媛媛相关资料视频</v>
      </c>
      <c r="AI25" s="5"/>
      <c r="AJ25" s="18"/>
      <c r="AK25" s="5"/>
      <c r="AL25" s="17" t="s">
        <v>60</v>
      </c>
    </row>
    <row r="26" ht="42" customHeight="1" spans="1:38">
      <c r="A26" s="20" t="s">
        <v>280</v>
      </c>
      <c r="B26" s="21" t="s">
        <v>281</v>
      </c>
      <c r="C26" s="21" t="s">
        <v>61</v>
      </c>
      <c r="D26" s="21" t="s">
        <v>62</v>
      </c>
      <c r="E26" s="17" t="s">
        <v>294</v>
      </c>
      <c r="F26" s="22" t="s">
        <v>295</v>
      </c>
      <c r="G26" s="5" t="str">
        <f t="shared" si="0"/>
        <v>浏览深圳外围模特懒咩咩的独立资料、图片说明、内容介绍与相关推荐。</v>
      </c>
      <c r="H26" s="17" t="s">
        <v>296</v>
      </c>
      <c r="I26" s="5" t="s">
        <v>126</v>
      </c>
      <c r="J26" s="17" t="s">
        <v>297</v>
      </c>
      <c r="K26" s="5" t="str">
        <f t="shared" si="1"/>
        <v>以上是深圳外围模特懒咩咩的照片、资料、无需注册登录即可浏览。</v>
      </c>
      <c r="L26" s="17" t="s">
        <v>286</v>
      </c>
      <c r="M26" s="17" t="s">
        <v>287</v>
      </c>
      <c r="N26" s="21" t="s">
        <v>298</v>
      </c>
      <c r="O26" s="21" t="s">
        <v>299</v>
      </c>
      <c r="P26" s="21" t="s">
        <v>300</v>
      </c>
      <c r="Q26" s="21" t="s">
        <v>301</v>
      </c>
      <c r="R26" s="21" t="s">
        <v>302</v>
      </c>
      <c r="S26" s="23" t="s">
        <v>56</v>
      </c>
      <c r="T26" s="21" t="s">
        <v>303</v>
      </c>
      <c r="U26" s="5" t="s">
        <v>58</v>
      </c>
      <c r="V26" s="17" t="s">
        <v>59</v>
      </c>
      <c r="W26" s="5" t="s">
        <v>56</v>
      </c>
      <c r="X26" s="5">
        <v>2</v>
      </c>
      <c r="Y26" s="18">
        <v>46289</v>
      </c>
      <c r="Z26" s="18">
        <v>46289</v>
      </c>
      <c r="AA26" s="5" t="str">
        <f t="shared" si="2"/>
        <v>深圳外围模特懒咩咩主图</v>
      </c>
      <c r="AB26" s="5" t="str">
        <f t="shared" si="3"/>
        <v>深圳外围模特懒咩咩资料主图</v>
      </c>
      <c r="AC26" s="5" t="str">
        <f t="shared" si="4"/>
        <v>深圳外围模特懒咩咩细节图</v>
      </c>
      <c r="AD26" s="5" t="str">
        <f t="shared" si="5"/>
        <v>深圳外围模特懒咩咩资料细节</v>
      </c>
      <c r="AE26" s="5" t="str">
        <f t="shared" si="6"/>
        <v>深圳外围模特懒咩咩展示图</v>
      </c>
      <c r="AF26" s="5" t="str">
        <f t="shared" si="7"/>
        <v>深圳外围模特懒咩咩资料展示</v>
      </c>
      <c r="AG26" s="5" t="str">
        <f t="shared" si="8"/>
        <v>深圳外围模特懒咩咩资料视频</v>
      </c>
      <c r="AH26" s="5" t="str">
        <f t="shared" si="9"/>
        <v>深圳外围模特懒咩咩相关资料视频</v>
      </c>
      <c r="AI26" s="5"/>
      <c r="AJ26" s="18"/>
      <c r="AK26" s="5"/>
      <c r="AL26" s="17" t="s">
        <v>60</v>
      </c>
    </row>
    <row r="27" ht="42" customHeight="1" spans="1:38">
      <c r="A27" s="20" t="s">
        <v>280</v>
      </c>
      <c r="B27" s="21" t="s">
        <v>281</v>
      </c>
      <c r="C27" s="21" t="s">
        <v>73</v>
      </c>
      <c r="D27" s="21" t="s">
        <v>74</v>
      </c>
      <c r="E27" s="17" t="s">
        <v>304</v>
      </c>
      <c r="F27" s="22" t="s">
        <v>305</v>
      </c>
      <c r="G27" s="5" t="str">
        <f t="shared" si="0"/>
        <v>浏览深圳外围模特汤晨的独立资料、图片说明、内容介绍与相关推荐。</v>
      </c>
      <c r="H27" s="17" t="s">
        <v>306</v>
      </c>
      <c r="I27" s="5" t="s">
        <v>139</v>
      </c>
      <c r="J27" s="17" t="s">
        <v>307</v>
      </c>
      <c r="K27" s="5" t="str">
        <f t="shared" si="1"/>
        <v>以上是深圳外围模特汤晨的照片、资料、无需注册登录即可浏览。</v>
      </c>
      <c r="L27" s="17" t="s">
        <v>286</v>
      </c>
      <c r="M27" s="17" t="s">
        <v>287</v>
      </c>
      <c r="N27" s="21" t="s">
        <v>308</v>
      </c>
      <c r="O27" s="21" t="s">
        <v>309</v>
      </c>
      <c r="P27" s="21" t="s">
        <v>310</v>
      </c>
      <c r="Q27" s="21" t="s">
        <v>311</v>
      </c>
      <c r="R27" s="21" t="s">
        <v>312</v>
      </c>
      <c r="S27" s="23" t="s">
        <v>56</v>
      </c>
      <c r="T27" s="21" t="s">
        <v>313</v>
      </c>
      <c r="U27" s="5" t="s">
        <v>58</v>
      </c>
      <c r="V27" s="17" t="s">
        <v>59</v>
      </c>
      <c r="W27" s="5" t="s">
        <v>56</v>
      </c>
      <c r="X27" s="5">
        <v>3</v>
      </c>
      <c r="Y27" s="18">
        <v>46289</v>
      </c>
      <c r="Z27" s="18">
        <v>46289</v>
      </c>
      <c r="AA27" s="5" t="str">
        <f t="shared" si="2"/>
        <v>深圳外围模特汤晨主图</v>
      </c>
      <c r="AB27" s="5" t="str">
        <f t="shared" si="3"/>
        <v>深圳外围模特汤晨资料主图</v>
      </c>
      <c r="AC27" s="5" t="str">
        <f t="shared" si="4"/>
        <v>深圳外围模特汤晨细节图</v>
      </c>
      <c r="AD27" s="5" t="str">
        <f t="shared" si="5"/>
        <v>深圳外围模特汤晨资料细节</v>
      </c>
      <c r="AE27" s="5" t="str">
        <f t="shared" si="6"/>
        <v>深圳外围模特汤晨展示图</v>
      </c>
      <c r="AF27" s="5" t="str">
        <f t="shared" si="7"/>
        <v>深圳外围模特汤晨资料展示</v>
      </c>
      <c r="AG27" s="5" t="str">
        <f t="shared" si="8"/>
        <v>深圳外围模特汤晨资料视频</v>
      </c>
      <c r="AH27" s="5" t="str">
        <f t="shared" si="9"/>
        <v>深圳外围模特汤晨相关资料视频</v>
      </c>
      <c r="AI27" s="5"/>
      <c r="AJ27" s="18"/>
      <c r="AK27" s="5"/>
      <c r="AL27" s="17" t="s">
        <v>60</v>
      </c>
    </row>
    <row r="28" ht="42" customHeight="1" spans="1:38">
      <c r="A28" s="20" t="s">
        <v>280</v>
      </c>
      <c r="B28" s="21" t="s">
        <v>281</v>
      </c>
      <c r="C28" s="21" t="s">
        <v>85</v>
      </c>
      <c r="D28" s="21" t="s">
        <v>86</v>
      </c>
      <c r="E28" s="17" t="s">
        <v>314</v>
      </c>
      <c r="F28" s="22" t="s">
        <v>315</v>
      </c>
      <c r="G28" s="5" t="str">
        <f t="shared" si="0"/>
        <v>浏览深圳外围模特鹿鹿的独立资料、图片说明、内容介绍与相关推荐。</v>
      </c>
      <c r="H28" s="17" t="s">
        <v>316</v>
      </c>
      <c r="I28" s="17" t="s">
        <v>47</v>
      </c>
      <c r="J28" s="17" t="s">
        <v>317</v>
      </c>
      <c r="K28" s="5" t="str">
        <f t="shared" si="1"/>
        <v>以上是深圳外围模特鹿鹿的照片、资料、无需注册登录即可浏览。</v>
      </c>
      <c r="L28" s="17" t="s">
        <v>286</v>
      </c>
      <c r="M28" s="17" t="s">
        <v>287</v>
      </c>
      <c r="N28" s="21" t="s">
        <v>318</v>
      </c>
      <c r="O28" s="21" t="s">
        <v>319</v>
      </c>
      <c r="P28" s="21" t="s">
        <v>320</v>
      </c>
      <c r="Q28" s="21" t="s">
        <v>321</v>
      </c>
      <c r="R28" s="21" t="s">
        <v>322</v>
      </c>
      <c r="S28" s="23" t="s">
        <v>56</v>
      </c>
      <c r="T28" s="21" t="s">
        <v>323</v>
      </c>
      <c r="U28" s="5" t="s">
        <v>58</v>
      </c>
      <c r="V28" s="17" t="s">
        <v>59</v>
      </c>
      <c r="W28" s="5" t="s">
        <v>56</v>
      </c>
      <c r="X28" s="5">
        <v>4</v>
      </c>
      <c r="Y28" s="18">
        <v>46289</v>
      </c>
      <c r="Z28" s="18">
        <v>46289</v>
      </c>
      <c r="AA28" s="5" t="str">
        <f t="shared" si="2"/>
        <v>深圳外围模特鹿鹿主图</v>
      </c>
      <c r="AB28" s="5" t="str">
        <f t="shared" si="3"/>
        <v>深圳外围模特鹿鹿资料主图</v>
      </c>
      <c r="AC28" s="5" t="str">
        <f t="shared" si="4"/>
        <v>深圳外围模特鹿鹿细节图</v>
      </c>
      <c r="AD28" s="5" t="str">
        <f t="shared" si="5"/>
        <v>深圳外围模特鹿鹿资料细节</v>
      </c>
      <c r="AE28" s="5" t="str">
        <f t="shared" si="6"/>
        <v>深圳外围模特鹿鹿展示图</v>
      </c>
      <c r="AF28" s="5" t="str">
        <f t="shared" si="7"/>
        <v>深圳外围模特鹿鹿资料展示</v>
      </c>
      <c r="AG28" s="5" t="str">
        <f t="shared" si="8"/>
        <v>深圳外围模特鹿鹿资料视频</v>
      </c>
      <c r="AH28" s="5" t="str">
        <f t="shared" si="9"/>
        <v>深圳外围模特鹿鹿相关资料视频</v>
      </c>
      <c r="AI28" s="5"/>
      <c r="AJ28" s="18"/>
      <c r="AK28" s="5"/>
      <c r="AL28" s="17" t="s">
        <v>60</v>
      </c>
    </row>
    <row r="29" ht="42" customHeight="1" spans="1:38">
      <c r="A29" s="20" t="s">
        <v>280</v>
      </c>
      <c r="B29" s="21" t="s">
        <v>281</v>
      </c>
      <c r="C29" s="21" t="s">
        <v>97</v>
      </c>
      <c r="D29" s="21" t="s">
        <v>98</v>
      </c>
      <c r="E29" s="17" t="s">
        <v>324</v>
      </c>
      <c r="F29" s="22" t="s">
        <v>325</v>
      </c>
      <c r="G29" s="5" t="str">
        <f t="shared" si="0"/>
        <v>浏览深圳外围模特苏苏的独立资料、图片说明、内容介绍与相关推荐。</v>
      </c>
      <c r="H29" s="17" t="s">
        <v>326</v>
      </c>
      <c r="I29" s="17" t="s">
        <v>47</v>
      </c>
      <c r="J29" s="17" t="s">
        <v>327</v>
      </c>
      <c r="K29" s="5" t="str">
        <f t="shared" si="1"/>
        <v>以上是深圳外围模特苏苏的照片、资料、无需注册登录即可浏览。</v>
      </c>
      <c r="L29" s="17" t="s">
        <v>286</v>
      </c>
      <c r="M29" s="17" t="s">
        <v>287</v>
      </c>
      <c r="N29" s="21" t="s">
        <v>328</v>
      </c>
      <c r="O29" s="21" t="s">
        <v>329</v>
      </c>
      <c r="P29" s="21" t="s">
        <v>330</v>
      </c>
      <c r="Q29" s="21" t="s">
        <v>331</v>
      </c>
      <c r="R29" s="21" t="s">
        <v>332</v>
      </c>
      <c r="S29" s="23" t="s">
        <v>56</v>
      </c>
      <c r="T29" s="21" t="s">
        <v>333</v>
      </c>
      <c r="U29" s="5" t="s">
        <v>58</v>
      </c>
      <c r="V29" s="17" t="s">
        <v>59</v>
      </c>
      <c r="W29" s="5" t="s">
        <v>56</v>
      </c>
      <c r="X29" s="5">
        <v>5</v>
      </c>
      <c r="Y29" s="18">
        <v>46289</v>
      </c>
      <c r="Z29" s="18">
        <v>46289</v>
      </c>
      <c r="AA29" s="5" t="str">
        <f t="shared" si="2"/>
        <v>深圳外围模特苏苏主图</v>
      </c>
      <c r="AB29" s="5" t="str">
        <f t="shared" si="3"/>
        <v>深圳外围模特苏苏资料主图</v>
      </c>
      <c r="AC29" s="5" t="str">
        <f t="shared" si="4"/>
        <v>深圳外围模特苏苏细节图</v>
      </c>
      <c r="AD29" s="5" t="str">
        <f t="shared" si="5"/>
        <v>深圳外围模特苏苏资料细节</v>
      </c>
      <c r="AE29" s="5" t="str">
        <f t="shared" si="6"/>
        <v>深圳外围模特苏苏展示图</v>
      </c>
      <c r="AF29" s="5" t="str">
        <f t="shared" si="7"/>
        <v>深圳外围模特苏苏资料展示</v>
      </c>
      <c r="AG29" s="5" t="str">
        <f t="shared" si="8"/>
        <v>深圳外围模特苏苏资料视频</v>
      </c>
      <c r="AH29" s="5" t="str">
        <f t="shared" si="9"/>
        <v>深圳外围模特苏苏相关资料视频</v>
      </c>
      <c r="AI29" s="5"/>
      <c r="AJ29" s="18"/>
      <c r="AK29" s="5"/>
      <c r="AL29" s="17" t="s">
        <v>60</v>
      </c>
    </row>
    <row r="30" ht="42" customHeight="1" spans="1:38">
      <c r="A30" s="20" t="s">
        <v>280</v>
      </c>
      <c r="B30" s="21" t="s">
        <v>281</v>
      </c>
      <c r="C30" s="21" t="s">
        <v>109</v>
      </c>
      <c r="D30" s="21" t="s">
        <v>110</v>
      </c>
      <c r="E30" s="17" t="s">
        <v>334</v>
      </c>
      <c r="F30" s="22" t="s">
        <v>335</v>
      </c>
      <c r="G30" s="5" t="str">
        <f t="shared" si="0"/>
        <v>浏览深圳外围模特兮兮的独立资料、图片说明、内容介绍与相关推荐。</v>
      </c>
      <c r="H30" s="17" t="s">
        <v>336</v>
      </c>
      <c r="I30" s="5" t="s">
        <v>179</v>
      </c>
      <c r="J30" s="17" t="s">
        <v>337</v>
      </c>
      <c r="K30" s="5" t="str">
        <f t="shared" si="1"/>
        <v>以上是深圳外围模特兮兮的照片、资料、无需注册登录即可浏览。</v>
      </c>
      <c r="L30" s="17" t="s">
        <v>286</v>
      </c>
      <c r="M30" s="17" t="s">
        <v>287</v>
      </c>
      <c r="N30" s="21" t="s">
        <v>338</v>
      </c>
      <c r="O30" s="21" t="s">
        <v>339</v>
      </c>
      <c r="P30" s="21" t="s">
        <v>340</v>
      </c>
      <c r="Q30" s="21" t="s">
        <v>341</v>
      </c>
      <c r="R30" s="21" t="s">
        <v>342</v>
      </c>
      <c r="S30" s="23" t="s">
        <v>56</v>
      </c>
      <c r="T30" s="21" t="s">
        <v>343</v>
      </c>
      <c r="U30" s="5" t="s">
        <v>58</v>
      </c>
      <c r="V30" s="17" t="s">
        <v>59</v>
      </c>
      <c r="W30" s="5" t="s">
        <v>56</v>
      </c>
      <c r="X30" s="5">
        <v>6</v>
      </c>
      <c r="Y30" s="18">
        <v>46289</v>
      </c>
      <c r="Z30" s="18">
        <v>46289</v>
      </c>
      <c r="AA30" s="5" t="str">
        <f t="shared" si="2"/>
        <v>深圳外围模特兮兮主图</v>
      </c>
      <c r="AB30" s="5" t="str">
        <f t="shared" si="3"/>
        <v>深圳外围模特兮兮资料主图</v>
      </c>
      <c r="AC30" s="5" t="str">
        <f t="shared" si="4"/>
        <v>深圳外围模特兮兮细节图</v>
      </c>
      <c r="AD30" s="5" t="str">
        <f t="shared" si="5"/>
        <v>深圳外围模特兮兮资料细节</v>
      </c>
      <c r="AE30" s="5" t="str">
        <f t="shared" si="6"/>
        <v>深圳外围模特兮兮展示图</v>
      </c>
      <c r="AF30" s="5" t="str">
        <f t="shared" si="7"/>
        <v>深圳外围模特兮兮资料展示</v>
      </c>
      <c r="AG30" s="5" t="str">
        <f t="shared" si="8"/>
        <v>深圳外围模特兮兮资料视频</v>
      </c>
      <c r="AH30" s="5" t="str">
        <f t="shared" si="9"/>
        <v>深圳外围模特兮兮相关资料视频</v>
      </c>
      <c r="AI30" s="5"/>
      <c r="AJ30" s="18"/>
      <c r="AK30" s="5"/>
      <c r="AL30" s="17" t="s">
        <v>60</v>
      </c>
    </row>
    <row r="31" ht="42" customHeight="1" spans="1:38">
      <c r="A31" s="20" t="s">
        <v>280</v>
      </c>
      <c r="B31" s="21" t="s">
        <v>281</v>
      </c>
      <c r="C31" s="21" t="s">
        <v>121</v>
      </c>
      <c r="D31" s="21" t="s">
        <v>122</v>
      </c>
      <c r="E31" s="17" t="s">
        <v>344</v>
      </c>
      <c r="F31" s="22" t="s">
        <v>345</v>
      </c>
      <c r="G31" s="5" t="str">
        <f t="shared" si="0"/>
        <v>浏览深圳外围模特桐丫丫的独立资料、图片说明、内容介绍与相关推荐。</v>
      </c>
      <c r="H31" s="17" t="s">
        <v>346</v>
      </c>
      <c r="I31" s="5" t="s">
        <v>126</v>
      </c>
      <c r="J31" s="17" t="s">
        <v>347</v>
      </c>
      <c r="K31" s="5" t="str">
        <f t="shared" si="1"/>
        <v>以上是深圳外围模特桐丫丫的照片、资料、无需注册登录即可浏览。</v>
      </c>
      <c r="L31" s="17" t="s">
        <v>286</v>
      </c>
      <c r="M31" s="17" t="s">
        <v>287</v>
      </c>
      <c r="N31" s="21" t="s">
        <v>348</v>
      </c>
      <c r="O31" s="21" t="s">
        <v>349</v>
      </c>
      <c r="P31" s="21" t="s">
        <v>350</v>
      </c>
      <c r="Q31" s="21" t="s">
        <v>351</v>
      </c>
      <c r="R31" s="21" t="s">
        <v>352</v>
      </c>
      <c r="S31" s="23" t="s">
        <v>56</v>
      </c>
      <c r="T31" s="21" t="s">
        <v>353</v>
      </c>
      <c r="U31" s="5" t="s">
        <v>58</v>
      </c>
      <c r="V31" s="17" t="s">
        <v>59</v>
      </c>
      <c r="W31" s="5" t="s">
        <v>56</v>
      </c>
      <c r="X31" s="5">
        <v>7</v>
      </c>
      <c r="Y31" s="18">
        <v>46289</v>
      </c>
      <c r="Z31" s="18">
        <v>46289</v>
      </c>
      <c r="AA31" s="5" t="str">
        <f t="shared" si="2"/>
        <v>深圳外围模特桐丫丫主图</v>
      </c>
      <c r="AB31" s="5" t="str">
        <f t="shared" si="3"/>
        <v>深圳外围模特桐丫丫资料主图</v>
      </c>
      <c r="AC31" s="5" t="str">
        <f t="shared" si="4"/>
        <v>深圳外围模特桐丫丫细节图</v>
      </c>
      <c r="AD31" s="5" t="str">
        <f t="shared" si="5"/>
        <v>深圳外围模特桐丫丫资料细节</v>
      </c>
      <c r="AE31" s="5" t="str">
        <f t="shared" si="6"/>
        <v>深圳外围模特桐丫丫展示图</v>
      </c>
      <c r="AF31" s="5" t="str">
        <f t="shared" si="7"/>
        <v>深圳外围模特桐丫丫资料展示</v>
      </c>
      <c r="AG31" s="5" t="str">
        <f t="shared" si="8"/>
        <v>深圳外围模特桐丫丫资料视频</v>
      </c>
      <c r="AH31" s="5" t="str">
        <f t="shared" si="9"/>
        <v>深圳外围模特桐丫丫相关资料视频</v>
      </c>
      <c r="AI31" s="5"/>
      <c r="AJ31" s="18"/>
      <c r="AK31" s="5"/>
      <c r="AL31" s="17" t="s">
        <v>60</v>
      </c>
    </row>
    <row r="32" ht="42" customHeight="1" spans="1:38">
      <c r="A32" s="20" t="s">
        <v>280</v>
      </c>
      <c r="B32" s="21" t="s">
        <v>281</v>
      </c>
      <c r="C32" s="21" t="s">
        <v>134</v>
      </c>
      <c r="D32" s="21" t="s">
        <v>135</v>
      </c>
      <c r="E32" s="17" t="s">
        <v>354</v>
      </c>
      <c r="F32" s="22" t="s">
        <v>355</v>
      </c>
      <c r="G32" s="5" t="str">
        <f t="shared" si="0"/>
        <v>浏览深圳外围模特拉拉的独立资料、图片说明、内容介绍与相关推荐。</v>
      </c>
      <c r="H32" s="17" t="s">
        <v>356</v>
      </c>
      <c r="I32" s="17" t="s">
        <v>357</v>
      </c>
      <c r="J32" s="17" t="s">
        <v>358</v>
      </c>
      <c r="K32" s="5" t="str">
        <f t="shared" si="1"/>
        <v>以上是深圳外围模特拉拉的照片、资料、无需注册登录即可浏览。</v>
      </c>
      <c r="L32" s="17" t="s">
        <v>286</v>
      </c>
      <c r="M32" s="17" t="s">
        <v>287</v>
      </c>
      <c r="N32" s="21" t="s">
        <v>359</v>
      </c>
      <c r="O32" s="21" t="s">
        <v>360</v>
      </c>
      <c r="P32" s="21" t="s">
        <v>361</v>
      </c>
      <c r="Q32" s="21" t="s">
        <v>362</v>
      </c>
      <c r="R32" s="21" t="s">
        <v>363</v>
      </c>
      <c r="S32" s="23" t="s">
        <v>56</v>
      </c>
      <c r="T32" s="21" t="s">
        <v>364</v>
      </c>
      <c r="U32" s="5" t="s">
        <v>58</v>
      </c>
      <c r="V32" s="17" t="s">
        <v>59</v>
      </c>
      <c r="W32" s="5" t="s">
        <v>56</v>
      </c>
      <c r="X32" s="5">
        <v>8</v>
      </c>
      <c r="Y32" s="18">
        <v>46289</v>
      </c>
      <c r="Z32" s="18">
        <v>46289</v>
      </c>
      <c r="AA32" s="5" t="str">
        <f t="shared" si="2"/>
        <v>深圳外围模特拉拉主图</v>
      </c>
      <c r="AB32" s="5" t="str">
        <f t="shared" si="3"/>
        <v>深圳外围模特拉拉资料主图</v>
      </c>
      <c r="AC32" s="5" t="str">
        <f t="shared" si="4"/>
        <v>深圳外围模特拉拉细节图</v>
      </c>
      <c r="AD32" s="5" t="str">
        <f t="shared" si="5"/>
        <v>深圳外围模特拉拉资料细节</v>
      </c>
      <c r="AE32" s="5" t="str">
        <f t="shared" si="6"/>
        <v>深圳外围模特拉拉展示图</v>
      </c>
      <c r="AF32" s="5" t="str">
        <f t="shared" si="7"/>
        <v>深圳外围模特拉拉资料展示</v>
      </c>
      <c r="AG32" s="5" t="str">
        <f t="shared" si="8"/>
        <v>深圳外围模特拉拉资料视频</v>
      </c>
      <c r="AH32" s="5" t="str">
        <f t="shared" si="9"/>
        <v>深圳外围模特拉拉相关资料视频</v>
      </c>
      <c r="AI32" s="5"/>
      <c r="AJ32" s="18"/>
      <c r="AK32" s="5"/>
      <c r="AL32" s="17" t="s">
        <v>60</v>
      </c>
    </row>
    <row r="33" ht="42" customHeight="1" spans="1:38">
      <c r="A33" s="20" t="s">
        <v>280</v>
      </c>
      <c r="B33" s="21" t="s">
        <v>281</v>
      </c>
      <c r="C33" s="21" t="s">
        <v>147</v>
      </c>
      <c r="D33" s="21" t="s">
        <v>148</v>
      </c>
      <c r="E33" s="17" t="s">
        <v>365</v>
      </c>
      <c r="F33" s="22" t="s">
        <v>366</v>
      </c>
      <c r="G33" s="5" t="str">
        <f t="shared" si="0"/>
        <v>浏览深圳外围模特醒醒的独立资料、图片说明、内容介绍与相关推荐。</v>
      </c>
      <c r="H33" s="17" t="s">
        <v>367</v>
      </c>
      <c r="I33" s="17" t="s">
        <v>47</v>
      </c>
      <c r="J33" s="17" t="s">
        <v>368</v>
      </c>
      <c r="K33" s="5" t="str">
        <f t="shared" si="1"/>
        <v>以上是深圳外围模特醒醒的照片、资料、无需注册登录即可浏览。</v>
      </c>
      <c r="L33" s="17" t="s">
        <v>286</v>
      </c>
      <c r="M33" s="17" t="s">
        <v>287</v>
      </c>
      <c r="N33" s="21" t="s">
        <v>369</v>
      </c>
      <c r="O33" s="21" t="s">
        <v>370</v>
      </c>
      <c r="P33" s="21" t="s">
        <v>371</v>
      </c>
      <c r="Q33" s="21" t="s">
        <v>372</v>
      </c>
      <c r="R33" s="21" t="s">
        <v>373</v>
      </c>
      <c r="S33" s="23" t="s">
        <v>56</v>
      </c>
      <c r="T33" s="21" t="s">
        <v>374</v>
      </c>
      <c r="U33" s="5" t="s">
        <v>58</v>
      </c>
      <c r="V33" s="17" t="s">
        <v>59</v>
      </c>
      <c r="W33" s="5" t="s">
        <v>56</v>
      </c>
      <c r="X33" s="5">
        <v>9</v>
      </c>
      <c r="Y33" s="18">
        <v>46289</v>
      </c>
      <c r="Z33" s="18">
        <v>46289</v>
      </c>
      <c r="AA33" s="5" t="str">
        <f t="shared" si="2"/>
        <v>深圳外围模特醒醒主图</v>
      </c>
      <c r="AB33" s="5" t="str">
        <f t="shared" si="3"/>
        <v>深圳外围模特醒醒资料主图</v>
      </c>
      <c r="AC33" s="5" t="str">
        <f t="shared" si="4"/>
        <v>深圳外围模特醒醒细节图</v>
      </c>
      <c r="AD33" s="5" t="str">
        <f t="shared" si="5"/>
        <v>深圳外围模特醒醒资料细节</v>
      </c>
      <c r="AE33" s="5" t="str">
        <f t="shared" si="6"/>
        <v>深圳外围模特醒醒展示图</v>
      </c>
      <c r="AF33" s="5" t="str">
        <f t="shared" si="7"/>
        <v>深圳外围模特醒醒资料展示</v>
      </c>
      <c r="AG33" s="5" t="str">
        <f t="shared" si="8"/>
        <v>深圳外围模特醒醒资料视频</v>
      </c>
      <c r="AH33" s="5" t="str">
        <f t="shared" si="9"/>
        <v>深圳外围模特醒醒相关资料视频</v>
      </c>
      <c r="AI33" s="5"/>
      <c r="AJ33" s="18"/>
      <c r="AK33" s="5"/>
      <c r="AL33" s="17" t="s">
        <v>60</v>
      </c>
    </row>
    <row r="34" ht="42" customHeight="1" spans="1:38">
      <c r="A34" s="20" t="s">
        <v>280</v>
      </c>
      <c r="B34" s="21" t="s">
        <v>281</v>
      </c>
      <c r="C34" s="21" t="s">
        <v>160</v>
      </c>
      <c r="D34" s="21" t="s">
        <v>161</v>
      </c>
      <c r="E34" s="17" t="s">
        <v>375</v>
      </c>
      <c r="F34" s="22" t="s">
        <v>376</v>
      </c>
      <c r="G34" s="5" t="str">
        <f t="shared" si="0"/>
        <v>浏览深圳外围模特山山的独立资料、图片说明、内容介绍与相关推荐。</v>
      </c>
      <c r="H34" s="17" t="s">
        <v>377</v>
      </c>
      <c r="I34" s="5" t="s">
        <v>165</v>
      </c>
      <c r="J34" s="17" t="s">
        <v>378</v>
      </c>
      <c r="K34" s="5" t="str">
        <f t="shared" si="1"/>
        <v>以上是深圳外围模特山山的照片、资料、无需注册登录即可浏览。</v>
      </c>
      <c r="L34" s="17" t="s">
        <v>286</v>
      </c>
      <c r="M34" s="17" t="s">
        <v>287</v>
      </c>
      <c r="N34" s="21" t="s">
        <v>379</v>
      </c>
      <c r="O34" s="21" t="s">
        <v>380</v>
      </c>
      <c r="P34" s="21" t="s">
        <v>381</v>
      </c>
      <c r="Q34" s="21" t="s">
        <v>382</v>
      </c>
      <c r="R34" s="21" t="s">
        <v>383</v>
      </c>
      <c r="S34" s="23" t="s">
        <v>56</v>
      </c>
      <c r="T34" s="21" t="s">
        <v>384</v>
      </c>
      <c r="U34" s="5" t="s">
        <v>58</v>
      </c>
      <c r="V34" s="17" t="s">
        <v>59</v>
      </c>
      <c r="W34" s="5" t="s">
        <v>56</v>
      </c>
      <c r="X34" s="5">
        <v>10</v>
      </c>
      <c r="Y34" s="18">
        <v>46289</v>
      </c>
      <c r="Z34" s="18">
        <v>46289</v>
      </c>
      <c r="AA34" s="5" t="str">
        <f t="shared" si="2"/>
        <v>深圳外围模特山山主图</v>
      </c>
      <c r="AB34" s="5" t="str">
        <f t="shared" si="3"/>
        <v>深圳外围模特山山资料主图</v>
      </c>
      <c r="AC34" s="5" t="str">
        <f t="shared" si="4"/>
        <v>深圳外围模特山山细节图</v>
      </c>
      <c r="AD34" s="5" t="str">
        <f t="shared" si="5"/>
        <v>深圳外围模特山山资料细节</v>
      </c>
      <c r="AE34" s="5" t="str">
        <f t="shared" si="6"/>
        <v>深圳外围模特山山展示图</v>
      </c>
      <c r="AF34" s="5" t="str">
        <f t="shared" si="7"/>
        <v>深圳外围模特山山资料展示</v>
      </c>
      <c r="AG34" s="5" t="str">
        <f t="shared" si="8"/>
        <v>深圳外围模特山山资料视频</v>
      </c>
      <c r="AH34" s="5" t="str">
        <f t="shared" si="9"/>
        <v>深圳外围模特山山相关资料视频</v>
      </c>
      <c r="AI34" s="5"/>
      <c r="AJ34" s="18"/>
      <c r="AK34" s="5"/>
      <c r="AL34" s="17" t="s">
        <v>60</v>
      </c>
    </row>
    <row r="35" ht="42" customHeight="1" spans="1:38">
      <c r="A35" s="20" t="s">
        <v>385</v>
      </c>
      <c r="B35" s="21" t="s">
        <v>386</v>
      </c>
      <c r="C35" s="21" t="s">
        <v>42</v>
      </c>
      <c r="D35" s="21" t="s">
        <v>43</v>
      </c>
      <c r="E35" s="17" t="s">
        <v>387</v>
      </c>
      <c r="F35" s="22" t="s">
        <v>388</v>
      </c>
      <c r="G35" s="17" t="str">
        <f t="shared" si="0"/>
        <v>浏览北京外围小萝莉的独立资料、图片说明、内容介绍与相关推荐。</v>
      </c>
      <c r="H35" s="17" t="s">
        <v>389</v>
      </c>
      <c r="I35" s="17" t="s">
        <v>390</v>
      </c>
      <c r="J35" s="17" t="s">
        <v>391</v>
      </c>
      <c r="K35" s="17" t="str">
        <f t="shared" si="1"/>
        <v>以上是北京外围小萝莉的照片、资料、无需注册登录即可浏览。</v>
      </c>
      <c r="L35" s="17" t="s">
        <v>392</v>
      </c>
      <c r="M35" s="17" t="s">
        <v>393</v>
      </c>
      <c r="N35" s="21" t="s">
        <v>394</v>
      </c>
      <c r="O35" s="21" t="s">
        <v>395</v>
      </c>
      <c r="P35" s="21" t="s">
        <v>396</v>
      </c>
      <c r="Q35" s="21" t="s">
        <v>397</v>
      </c>
      <c r="R35" s="21" t="s">
        <v>398</v>
      </c>
      <c r="S35" s="23" t="s">
        <v>56</v>
      </c>
      <c r="T35" s="21" t="s">
        <v>399</v>
      </c>
      <c r="U35" s="5" t="s">
        <v>58</v>
      </c>
      <c r="V35" s="17" t="s">
        <v>59</v>
      </c>
      <c r="W35" s="5" t="s">
        <v>56</v>
      </c>
      <c r="X35" s="5">
        <v>1</v>
      </c>
      <c r="Y35" s="18">
        <v>46289</v>
      </c>
      <c r="Z35" s="18">
        <v>46289</v>
      </c>
      <c r="AA35" s="17" t="str">
        <f t="shared" si="2"/>
        <v>北京外围小萝莉主图</v>
      </c>
      <c r="AB35" s="17" t="str">
        <f t="shared" si="3"/>
        <v>北京外围小萝莉资料主图</v>
      </c>
      <c r="AC35" s="17" t="str">
        <f t="shared" si="4"/>
        <v>北京外围小萝莉细节图</v>
      </c>
      <c r="AD35" s="17" t="str">
        <f t="shared" si="5"/>
        <v>北京外围小萝莉资料细节</v>
      </c>
      <c r="AE35" s="17" t="str">
        <f t="shared" si="6"/>
        <v>北京外围小萝莉展示图</v>
      </c>
      <c r="AF35" s="17" t="str">
        <f t="shared" si="7"/>
        <v>北京外围小萝莉资料展示</v>
      </c>
      <c r="AG35" s="17" t="str">
        <f t="shared" si="8"/>
        <v>北京外围小萝莉资料视频</v>
      </c>
      <c r="AH35" s="17" t="str">
        <f t="shared" si="9"/>
        <v>北京外围小萝莉相关资料视频</v>
      </c>
      <c r="AI35" s="5"/>
      <c r="AJ35" s="18"/>
      <c r="AK35" s="5"/>
      <c r="AL35" s="17" t="s">
        <v>60</v>
      </c>
    </row>
    <row r="36" ht="42" customHeight="1" spans="1:38">
      <c r="A36" s="20" t="s">
        <v>385</v>
      </c>
      <c r="B36" s="21" t="s">
        <v>386</v>
      </c>
      <c r="C36" s="21" t="s">
        <v>61</v>
      </c>
      <c r="D36" s="21" t="s">
        <v>62</v>
      </c>
      <c r="E36" s="17" t="s">
        <v>400</v>
      </c>
      <c r="F36" s="22" t="s">
        <v>401</v>
      </c>
      <c r="G36" s="17" t="str">
        <f t="shared" si="0"/>
        <v>浏览北京外围兼职学妹的独立资料、图片说明、内容介绍与相关推荐。</v>
      </c>
      <c r="H36" s="17" t="s">
        <v>402</v>
      </c>
      <c r="I36" s="17" t="s">
        <v>403</v>
      </c>
      <c r="J36" s="17" t="s">
        <v>404</v>
      </c>
      <c r="K36" s="17" t="str">
        <f t="shared" si="1"/>
        <v>以上是北京外围兼职学妹的照片、资料、无需注册登录即可浏览。</v>
      </c>
      <c r="L36" s="17" t="s">
        <v>392</v>
      </c>
      <c r="M36" s="17" t="s">
        <v>393</v>
      </c>
      <c r="N36" s="21" t="s">
        <v>405</v>
      </c>
      <c r="O36" s="21" t="s">
        <v>406</v>
      </c>
      <c r="P36" s="21" t="s">
        <v>407</v>
      </c>
      <c r="Q36" s="21" t="s">
        <v>408</v>
      </c>
      <c r="R36" s="21" t="s">
        <v>409</v>
      </c>
      <c r="S36" s="23" t="s">
        <v>56</v>
      </c>
      <c r="T36" s="21" t="s">
        <v>410</v>
      </c>
      <c r="U36" s="5" t="s">
        <v>58</v>
      </c>
      <c r="V36" s="17" t="s">
        <v>59</v>
      </c>
      <c r="W36" s="5" t="s">
        <v>56</v>
      </c>
      <c r="X36" s="5">
        <v>2</v>
      </c>
      <c r="Y36" s="18">
        <v>46289</v>
      </c>
      <c r="Z36" s="18">
        <v>46289</v>
      </c>
      <c r="AA36" s="17" t="str">
        <f t="shared" si="2"/>
        <v>北京外围兼职学妹主图</v>
      </c>
      <c r="AB36" s="17" t="str">
        <f t="shared" si="3"/>
        <v>北京外围兼职学妹资料主图</v>
      </c>
      <c r="AC36" s="17" t="str">
        <f t="shared" si="4"/>
        <v>北京外围兼职学妹细节图</v>
      </c>
      <c r="AD36" s="17" t="str">
        <f t="shared" si="5"/>
        <v>北京外围兼职学妹资料细节</v>
      </c>
      <c r="AE36" s="17" t="str">
        <f t="shared" si="6"/>
        <v>北京外围兼职学妹展示图</v>
      </c>
      <c r="AF36" s="17" t="str">
        <f t="shared" si="7"/>
        <v>北京外围兼职学妹资料展示</v>
      </c>
      <c r="AG36" s="17" t="str">
        <f t="shared" si="8"/>
        <v>北京外围兼职学妹资料视频</v>
      </c>
      <c r="AH36" s="17" t="str">
        <f t="shared" si="9"/>
        <v>北京外围兼职学妹相关资料视频</v>
      </c>
      <c r="AI36" s="5"/>
      <c r="AJ36" s="18"/>
      <c r="AK36" s="5"/>
      <c r="AL36" s="17" t="s">
        <v>60</v>
      </c>
    </row>
    <row r="37" ht="42" customHeight="1" spans="1:38">
      <c r="A37" s="20" t="s">
        <v>385</v>
      </c>
      <c r="B37" s="21" t="s">
        <v>386</v>
      </c>
      <c r="C37" s="21" t="s">
        <v>73</v>
      </c>
      <c r="D37" s="21" t="s">
        <v>74</v>
      </c>
      <c r="E37" s="17" t="s">
        <v>411</v>
      </c>
      <c r="F37" s="22" t="s">
        <v>412</v>
      </c>
      <c r="G37" s="17" t="str">
        <f t="shared" si="0"/>
        <v>浏览北京外围模特御姐的独立资料、图片说明、内容介绍与相关推荐。</v>
      </c>
      <c r="H37" s="17" t="s">
        <v>413</v>
      </c>
      <c r="I37" s="17" t="s">
        <v>357</v>
      </c>
      <c r="J37" s="17" t="s">
        <v>414</v>
      </c>
      <c r="K37" s="17" t="str">
        <f t="shared" si="1"/>
        <v>以上是北京外围模特御姐的照片、资料、无需注册登录即可浏览。</v>
      </c>
      <c r="L37" s="17" t="s">
        <v>392</v>
      </c>
      <c r="M37" s="17" t="s">
        <v>393</v>
      </c>
      <c r="N37" s="21" t="s">
        <v>415</v>
      </c>
      <c r="O37" s="21" t="s">
        <v>416</v>
      </c>
      <c r="P37" s="21" t="s">
        <v>417</v>
      </c>
      <c r="Q37" s="21" t="s">
        <v>418</v>
      </c>
      <c r="R37" s="21" t="s">
        <v>419</v>
      </c>
      <c r="S37" s="23" t="s">
        <v>56</v>
      </c>
      <c r="T37" s="21" t="s">
        <v>420</v>
      </c>
      <c r="U37" s="5" t="s">
        <v>58</v>
      </c>
      <c r="V37" s="17" t="s">
        <v>59</v>
      </c>
      <c r="W37" s="5" t="s">
        <v>56</v>
      </c>
      <c r="X37" s="5">
        <v>3</v>
      </c>
      <c r="Y37" s="18">
        <v>46289</v>
      </c>
      <c r="Z37" s="18">
        <v>46289</v>
      </c>
      <c r="AA37" s="5" t="str">
        <f t="shared" si="2"/>
        <v>北京外围模特御姐主图</v>
      </c>
      <c r="AB37" s="5" t="str">
        <f t="shared" si="3"/>
        <v>北京外围模特御姐资料主图</v>
      </c>
      <c r="AC37" s="5" t="str">
        <f t="shared" si="4"/>
        <v>北京外围模特御姐细节图</v>
      </c>
      <c r="AD37" s="5" t="str">
        <f t="shared" si="5"/>
        <v>北京外围模特御姐资料细节</v>
      </c>
      <c r="AE37" s="5" t="str">
        <f t="shared" si="6"/>
        <v>北京外围模特御姐展示图</v>
      </c>
      <c r="AF37" s="5" t="str">
        <f t="shared" si="7"/>
        <v>北京外围模特御姐资料展示</v>
      </c>
      <c r="AG37" s="17" t="str">
        <f t="shared" si="8"/>
        <v>北京外围模特御姐资料视频</v>
      </c>
      <c r="AH37" s="17" t="str">
        <f t="shared" si="9"/>
        <v>北京外围模特御姐相关资料视频</v>
      </c>
      <c r="AI37" s="5"/>
      <c r="AJ37" s="18"/>
      <c r="AK37" s="5"/>
      <c r="AL37" s="17" t="s">
        <v>60</v>
      </c>
    </row>
    <row r="38" ht="42" customHeight="1" spans="1:38">
      <c r="A38" s="20" t="s">
        <v>385</v>
      </c>
      <c r="B38" s="21" t="s">
        <v>386</v>
      </c>
      <c r="C38" s="21" t="s">
        <v>85</v>
      </c>
      <c r="D38" s="21" t="s">
        <v>86</v>
      </c>
      <c r="E38" s="17" t="s">
        <v>421</v>
      </c>
      <c r="F38" s="22" t="s">
        <v>422</v>
      </c>
      <c r="G38" s="17" t="str">
        <f t="shared" si="0"/>
        <v>浏览北京外围模特清新的独立资料、图片说明、内容介绍与相关推荐。</v>
      </c>
      <c r="H38" s="17" t="s">
        <v>423</v>
      </c>
      <c r="I38" s="17" t="s">
        <v>139</v>
      </c>
      <c r="J38" s="17" t="s">
        <v>424</v>
      </c>
      <c r="K38" s="17" t="str">
        <f t="shared" si="1"/>
        <v>以上是北京外围模特清新的照片、资料、无需注册登录即可浏览。</v>
      </c>
      <c r="L38" s="17" t="s">
        <v>392</v>
      </c>
      <c r="M38" s="17" t="s">
        <v>393</v>
      </c>
      <c r="N38" s="21" t="s">
        <v>425</v>
      </c>
      <c r="O38" s="21" t="s">
        <v>426</v>
      </c>
      <c r="P38" s="21" t="s">
        <v>427</v>
      </c>
      <c r="Q38" s="21" t="s">
        <v>428</v>
      </c>
      <c r="R38" s="21" t="s">
        <v>429</v>
      </c>
      <c r="S38" s="23" t="s">
        <v>56</v>
      </c>
      <c r="T38" s="21" t="s">
        <v>430</v>
      </c>
      <c r="U38" s="5" t="s">
        <v>58</v>
      </c>
      <c r="V38" s="17" t="s">
        <v>59</v>
      </c>
      <c r="W38" s="5" t="s">
        <v>56</v>
      </c>
      <c r="X38" s="5">
        <v>4</v>
      </c>
      <c r="Y38" s="18">
        <v>46289</v>
      </c>
      <c r="Z38" s="18">
        <v>46289</v>
      </c>
      <c r="AA38" s="5" t="str">
        <f t="shared" si="2"/>
        <v>北京外围模特清新主图</v>
      </c>
      <c r="AB38" s="5" t="str">
        <f t="shared" si="3"/>
        <v>北京外围模特清新资料主图</v>
      </c>
      <c r="AC38" s="5" t="str">
        <f t="shared" si="4"/>
        <v>北京外围模特清新细节图</v>
      </c>
      <c r="AD38" s="5" t="str">
        <f t="shared" si="5"/>
        <v>北京外围模特清新资料细节</v>
      </c>
      <c r="AE38" s="5" t="str">
        <f t="shared" si="6"/>
        <v>北京外围模特清新展示图</v>
      </c>
      <c r="AF38" s="5" t="str">
        <f t="shared" si="7"/>
        <v>北京外围模特清新资料展示</v>
      </c>
      <c r="AG38" s="17" t="str">
        <f t="shared" si="8"/>
        <v>北京外围模特清新资料视频</v>
      </c>
      <c r="AH38" s="17" t="str">
        <f t="shared" si="9"/>
        <v>北京外围模特清新相关资料视频</v>
      </c>
      <c r="AI38" s="5"/>
      <c r="AJ38" s="18"/>
      <c r="AK38" s="5"/>
      <c r="AL38" s="17" t="s">
        <v>60</v>
      </c>
    </row>
    <row r="39" ht="42" customHeight="1" spans="1:38">
      <c r="A39" s="20" t="s">
        <v>385</v>
      </c>
      <c r="B39" s="21" t="s">
        <v>386</v>
      </c>
      <c r="C39" s="21" t="s">
        <v>97</v>
      </c>
      <c r="D39" s="21" t="s">
        <v>98</v>
      </c>
      <c r="E39" s="17" t="s">
        <v>431</v>
      </c>
      <c r="F39" s="22" t="s">
        <v>432</v>
      </c>
      <c r="G39" s="17" t="str">
        <f t="shared" si="0"/>
        <v>浏览北京外围模特菲菲的独立资料、图片说明、内容介绍与相关推荐。</v>
      </c>
      <c r="H39" s="17" t="s">
        <v>433</v>
      </c>
      <c r="I39" s="17" t="s">
        <v>152</v>
      </c>
      <c r="J39" s="17" t="s">
        <v>434</v>
      </c>
      <c r="K39" s="17" t="str">
        <f t="shared" si="1"/>
        <v>以上是北京外围模特菲菲的照片、资料、无需注册登录即可浏览。</v>
      </c>
      <c r="L39" s="17" t="s">
        <v>392</v>
      </c>
      <c r="M39" s="17" t="s">
        <v>393</v>
      </c>
      <c r="N39" s="21" t="s">
        <v>435</v>
      </c>
      <c r="O39" s="21" t="s">
        <v>436</v>
      </c>
      <c r="P39" s="21" t="s">
        <v>437</v>
      </c>
      <c r="Q39" s="21" t="s">
        <v>438</v>
      </c>
      <c r="R39" s="21" t="s">
        <v>439</v>
      </c>
      <c r="S39" s="23" t="s">
        <v>56</v>
      </c>
      <c r="T39" s="21" t="s">
        <v>440</v>
      </c>
      <c r="U39" s="5" t="s">
        <v>58</v>
      </c>
      <c r="V39" s="17" t="s">
        <v>59</v>
      </c>
      <c r="W39" s="5" t="s">
        <v>56</v>
      </c>
      <c r="X39" s="5">
        <v>5</v>
      </c>
      <c r="Y39" s="18">
        <v>46289</v>
      </c>
      <c r="Z39" s="18">
        <v>46289</v>
      </c>
      <c r="AA39" s="5" t="str">
        <f t="shared" si="2"/>
        <v>北京外围模特菲菲主图</v>
      </c>
      <c r="AB39" s="5" t="str">
        <f t="shared" si="3"/>
        <v>北京外围模特菲菲资料主图</v>
      </c>
      <c r="AC39" s="5" t="str">
        <f t="shared" si="4"/>
        <v>北京外围模特菲菲细节图</v>
      </c>
      <c r="AD39" s="5" t="str">
        <f t="shared" si="5"/>
        <v>北京外围模特菲菲资料细节</v>
      </c>
      <c r="AE39" s="5" t="str">
        <f t="shared" si="6"/>
        <v>北京外围模特菲菲展示图</v>
      </c>
      <c r="AF39" s="5" t="str">
        <f t="shared" si="7"/>
        <v>北京外围模特菲菲资料展示</v>
      </c>
      <c r="AG39" s="17" t="str">
        <f t="shared" si="8"/>
        <v>北京外围模特菲菲资料视频</v>
      </c>
      <c r="AH39" s="17" t="str">
        <f t="shared" si="9"/>
        <v>北京外围模特菲菲相关资料视频</v>
      </c>
      <c r="AI39" s="5"/>
      <c r="AJ39" s="18"/>
      <c r="AK39" s="5"/>
      <c r="AL39" s="17" t="s">
        <v>60</v>
      </c>
    </row>
    <row r="40" ht="42" customHeight="1" spans="1:38">
      <c r="A40" s="20" t="s">
        <v>385</v>
      </c>
      <c r="B40" s="21" t="s">
        <v>386</v>
      </c>
      <c r="C40" s="21" t="s">
        <v>109</v>
      </c>
      <c r="D40" s="21" t="s">
        <v>110</v>
      </c>
      <c r="E40" s="17" t="s">
        <v>441</v>
      </c>
      <c r="F40" s="22" t="s">
        <v>442</v>
      </c>
      <c r="G40" s="17" t="str">
        <f t="shared" si="0"/>
        <v>浏览北京外围模特娜美的独立资料、图片说明、内容介绍与相关推荐。</v>
      </c>
      <c r="H40" s="17" t="s">
        <v>443</v>
      </c>
      <c r="I40" s="17" t="s">
        <v>444</v>
      </c>
      <c r="J40" s="17" t="s">
        <v>445</v>
      </c>
      <c r="K40" s="17" t="str">
        <f t="shared" si="1"/>
        <v>以上是北京外围模特娜美的照片、资料、无需注册登录即可浏览。</v>
      </c>
      <c r="L40" s="17" t="s">
        <v>392</v>
      </c>
      <c r="M40" s="17" t="s">
        <v>393</v>
      </c>
      <c r="N40" s="21" t="s">
        <v>446</v>
      </c>
      <c r="O40" s="21" t="s">
        <v>447</v>
      </c>
      <c r="P40" s="21" t="s">
        <v>448</v>
      </c>
      <c r="Q40" s="21" t="s">
        <v>449</v>
      </c>
      <c r="R40" s="21" t="s">
        <v>450</v>
      </c>
      <c r="S40" s="23" t="s">
        <v>56</v>
      </c>
      <c r="T40" s="21" t="s">
        <v>451</v>
      </c>
      <c r="U40" s="5" t="s">
        <v>58</v>
      </c>
      <c r="V40" s="17" t="s">
        <v>59</v>
      </c>
      <c r="W40" s="5" t="s">
        <v>56</v>
      </c>
      <c r="X40" s="5">
        <v>6</v>
      </c>
      <c r="Y40" s="18">
        <v>46289</v>
      </c>
      <c r="Z40" s="18">
        <v>46289</v>
      </c>
      <c r="AA40" s="5" t="str">
        <f t="shared" si="2"/>
        <v>北京外围模特娜美主图</v>
      </c>
      <c r="AB40" s="5" t="str">
        <f t="shared" si="3"/>
        <v>北京外围模特娜美资料主图</v>
      </c>
      <c r="AC40" s="5" t="str">
        <f t="shared" si="4"/>
        <v>北京外围模特娜美细节图</v>
      </c>
      <c r="AD40" s="5" t="str">
        <f t="shared" si="5"/>
        <v>北京外围模特娜美资料细节</v>
      </c>
      <c r="AE40" s="5" t="str">
        <f t="shared" si="6"/>
        <v>北京外围模特娜美展示图</v>
      </c>
      <c r="AF40" s="5" t="str">
        <f t="shared" si="7"/>
        <v>北京外围模特娜美资料展示</v>
      </c>
      <c r="AG40" s="17" t="str">
        <f t="shared" si="8"/>
        <v>北京外围模特娜美资料视频</v>
      </c>
      <c r="AH40" s="17" t="str">
        <f t="shared" si="9"/>
        <v>北京外围模特娜美相关资料视频</v>
      </c>
      <c r="AI40" s="5"/>
      <c r="AJ40" s="18"/>
      <c r="AK40" s="5"/>
      <c r="AL40" s="17" t="s">
        <v>60</v>
      </c>
    </row>
    <row r="41" ht="42" customHeight="1" spans="1:38">
      <c r="A41" s="20" t="s">
        <v>385</v>
      </c>
      <c r="B41" s="21" t="s">
        <v>386</v>
      </c>
      <c r="C41" s="21" t="s">
        <v>121</v>
      </c>
      <c r="D41" s="21" t="s">
        <v>122</v>
      </c>
      <c r="E41" s="17" t="s">
        <v>452</v>
      </c>
      <c r="F41" s="22" t="s">
        <v>453</v>
      </c>
      <c r="G41" s="17" t="str">
        <f t="shared" si="0"/>
        <v>浏览北京外围模特纯欲白虎的独立资料、图片说明、内容介绍与相关推荐。</v>
      </c>
      <c r="H41" s="17" t="s">
        <v>454</v>
      </c>
      <c r="I41" s="17" t="s">
        <v>47</v>
      </c>
      <c r="J41" s="17" t="s">
        <v>455</v>
      </c>
      <c r="K41" s="17" t="str">
        <f t="shared" si="1"/>
        <v>以上是北京外围模特纯欲白虎的照片、资料、无需注册登录即可浏览。</v>
      </c>
      <c r="L41" s="17" t="s">
        <v>392</v>
      </c>
      <c r="M41" s="17" t="s">
        <v>393</v>
      </c>
      <c r="N41" s="21" t="s">
        <v>456</v>
      </c>
      <c r="O41" s="21" t="s">
        <v>457</v>
      </c>
      <c r="P41" s="21" t="s">
        <v>458</v>
      </c>
      <c r="Q41" s="21" t="s">
        <v>459</v>
      </c>
      <c r="R41" s="21" t="s">
        <v>460</v>
      </c>
      <c r="S41" s="23" t="s">
        <v>56</v>
      </c>
      <c r="T41" s="21" t="s">
        <v>461</v>
      </c>
      <c r="U41" s="5" t="s">
        <v>58</v>
      </c>
      <c r="V41" s="17" t="s">
        <v>59</v>
      </c>
      <c r="W41" s="5" t="s">
        <v>56</v>
      </c>
      <c r="X41" s="5">
        <v>7</v>
      </c>
      <c r="Y41" s="18">
        <v>46289</v>
      </c>
      <c r="Z41" s="18">
        <v>46289</v>
      </c>
      <c r="AA41" s="5" t="str">
        <f t="shared" si="2"/>
        <v>北京外围模特纯欲白虎主图</v>
      </c>
      <c r="AB41" s="5" t="str">
        <f t="shared" si="3"/>
        <v>北京外围模特纯欲白虎资料主图</v>
      </c>
      <c r="AC41" s="5" t="str">
        <f t="shared" si="4"/>
        <v>北京外围模特纯欲白虎细节图</v>
      </c>
      <c r="AD41" s="5" t="str">
        <f t="shared" si="5"/>
        <v>北京外围模特纯欲白虎资料细节</v>
      </c>
      <c r="AE41" s="5" t="str">
        <f t="shared" si="6"/>
        <v>北京外围模特纯欲白虎展示图</v>
      </c>
      <c r="AF41" s="5" t="str">
        <f t="shared" si="7"/>
        <v>北京外围模特纯欲白虎资料展示</v>
      </c>
      <c r="AG41" s="17" t="str">
        <f t="shared" si="8"/>
        <v>北京外围模特纯欲白虎资料视频</v>
      </c>
      <c r="AH41" s="17" t="str">
        <f t="shared" si="9"/>
        <v>北京外围模特纯欲白虎相关资料视频</v>
      </c>
      <c r="AI41" s="5"/>
      <c r="AJ41" s="18"/>
      <c r="AK41" s="5"/>
      <c r="AL41" s="17" t="s">
        <v>60</v>
      </c>
    </row>
    <row r="42" ht="42" customHeight="1" spans="1:38">
      <c r="A42" s="20" t="s">
        <v>385</v>
      </c>
      <c r="B42" s="21" t="s">
        <v>386</v>
      </c>
      <c r="C42" s="21" t="s">
        <v>134</v>
      </c>
      <c r="D42" s="21" t="s">
        <v>135</v>
      </c>
      <c r="E42" s="17" t="s">
        <v>462</v>
      </c>
      <c r="F42" s="22" t="s">
        <v>463</v>
      </c>
      <c r="G42" s="17" t="str">
        <f t="shared" si="0"/>
        <v>浏览北京外围模特纯兼职新人的独立资料、图片说明、内容介绍与相关推荐。</v>
      </c>
      <c r="H42" s="17" t="s">
        <v>464</v>
      </c>
      <c r="I42" s="5" t="s">
        <v>139</v>
      </c>
      <c r="J42" s="17" t="s">
        <v>465</v>
      </c>
      <c r="K42" s="17" t="str">
        <f t="shared" si="1"/>
        <v>以上是北京外围模特纯兼职新人的照片、资料、无需注册登录即可浏览。</v>
      </c>
      <c r="L42" s="17" t="s">
        <v>392</v>
      </c>
      <c r="M42" s="17" t="s">
        <v>393</v>
      </c>
      <c r="N42" s="21" t="s">
        <v>466</v>
      </c>
      <c r="O42" s="21" t="s">
        <v>467</v>
      </c>
      <c r="P42" s="21" t="s">
        <v>468</v>
      </c>
      <c r="Q42" s="21" t="s">
        <v>469</v>
      </c>
      <c r="R42" s="21" t="s">
        <v>470</v>
      </c>
      <c r="S42" s="23" t="s">
        <v>56</v>
      </c>
      <c r="T42" s="21" t="s">
        <v>471</v>
      </c>
      <c r="U42" s="5" t="s">
        <v>58</v>
      </c>
      <c r="V42" s="17" t="s">
        <v>59</v>
      </c>
      <c r="W42" s="5" t="s">
        <v>56</v>
      </c>
      <c r="X42" s="5">
        <v>8</v>
      </c>
      <c r="Y42" s="18">
        <v>46289</v>
      </c>
      <c r="Z42" s="18">
        <v>46289</v>
      </c>
      <c r="AA42" s="5" t="str">
        <f t="shared" si="2"/>
        <v>北京外围模特纯兼职新人主图</v>
      </c>
      <c r="AB42" s="5" t="str">
        <f t="shared" si="3"/>
        <v>北京外围模特纯兼职新人资料主图</v>
      </c>
      <c r="AC42" s="5" t="str">
        <f t="shared" si="4"/>
        <v>北京外围模特纯兼职新人细节图</v>
      </c>
      <c r="AD42" s="5" t="str">
        <f t="shared" si="5"/>
        <v>北京外围模特纯兼职新人资料细节</v>
      </c>
      <c r="AE42" s="5" t="str">
        <f t="shared" si="6"/>
        <v>北京外围模特纯兼职新人展示图</v>
      </c>
      <c r="AF42" s="5" t="str">
        <f t="shared" si="7"/>
        <v>北京外围模特纯兼职新人资料展示</v>
      </c>
      <c r="AG42" s="17" t="str">
        <f t="shared" si="8"/>
        <v>北京外围模特纯兼职新人资料视频</v>
      </c>
      <c r="AH42" s="17" t="str">
        <f t="shared" si="9"/>
        <v>北京外围模特纯兼职新人相关资料视频</v>
      </c>
      <c r="AI42" s="5"/>
      <c r="AJ42" s="18"/>
      <c r="AK42" s="5"/>
      <c r="AL42" s="17" t="s">
        <v>60</v>
      </c>
    </row>
    <row r="43" ht="42" customHeight="1" spans="1:38">
      <c r="A43" s="20" t="s">
        <v>385</v>
      </c>
      <c r="B43" s="21" t="s">
        <v>386</v>
      </c>
      <c r="C43" s="21" t="s">
        <v>147</v>
      </c>
      <c r="D43" s="21" t="s">
        <v>148</v>
      </c>
      <c r="E43" s="17" t="s">
        <v>472</v>
      </c>
      <c r="F43" s="22" t="s">
        <v>473</v>
      </c>
      <c r="G43" s="17" t="str">
        <f t="shared" si="0"/>
        <v>浏览北京外围模特极品纯欲的独立资料、图片说明、内容介绍与相关推荐。</v>
      </c>
      <c r="H43" s="17" t="s">
        <v>474</v>
      </c>
      <c r="I43" s="17" t="s">
        <v>47</v>
      </c>
      <c r="J43" s="17" t="s">
        <v>475</v>
      </c>
      <c r="K43" s="17" t="str">
        <f t="shared" si="1"/>
        <v>以上是北京外围模特极品纯欲的照片、资料、无需注册登录即可浏览。</v>
      </c>
      <c r="L43" s="17" t="s">
        <v>392</v>
      </c>
      <c r="M43" s="17" t="s">
        <v>393</v>
      </c>
      <c r="N43" s="21" t="s">
        <v>476</v>
      </c>
      <c r="O43" s="21" t="s">
        <v>477</v>
      </c>
      <c r="P43" s="21" t="s">
        <v>478</v>
      </c>
      <c r="Q43" s="21" t="s">
        <v>479</v>
      </c>
      <c r="R43" s="21" t="s">
        <v>480</v>
      </c>
      <c r="S43" s="23" t="s">
        <v>56</v>
      </c>
      <c r="T43" s="21" t="s">
        <v>481</v>
      </c>
      <c r="U43" s="5" t="s">
        <v>58</v>
      </c>
      <c r="V43" s="17" t="s">
        <v>59</v>
      </c>
      <c r="W43" s="5" t="s">
        <v>56</v>
      </c>
      <c r="X43" s="5">
        <v>9</v>
      </c>
      <c r="Y43" s="18">
        <v>46289</v>
      </c>
      <c r="Z43" s="18">
        <v>46289</v>
      </c>
      <c r="AA43" s="5" t="str">
        <f t="shared" si="2"/>
        <v>北京外围模特极品纯欲主图</v>
      </c>
      <c r="AB43" s="5" t="str">
        <f t="shared" si="3"/>
        <v>北京外围模特极品纯欲资料主图</v>
      </c>
      <c r="AC43" s="5" t="str">
        <f t="shared" si="4"/>
        <v>北京外围模特极品纯欲细节图</v>
      </c>
      <c r="AD43" s="5" t="str">
        <f t="shared" si="5"/>
        <v>北京外围模特极品纯欲资料细节</v>
      </c>
      <c r="AE43" s="5" t="str">
        <f t="shared" si="6"/>
        <v>北京外围模特极品纯欲展示图</v>
      </c>
      <c r="AF43" s="5" t="str">
        <f t="shared" si="7"/>
        <v>北京外围模特极品纯欲资料展示</v>
      </c>
      <c r="AG43" s="17" t="str">
        <f t="shared" si="8"/>
        <v>北京外围模特极品纯欲资料视频</v>
      </c>
      <c r="AH43" s="17" t="str">
        <f t="shared" si="9"/>
        <v>北京外围模特极品纯欲相关资料视频</v>
      </c>
      <c r="AI43" s="5"/>
      <c r="AJ43" s="18"/>
      <c r="AK43" s="5"/>
      <c r="AL43" s="17" t="s">
        <v>60</v>
      </c>
    </row>
    <row r="44" ht="42" customHeight="1" spans="1:38">
      <c r="A44" s="20" t="s">
        <v>385</v>
      </c>
      <c r="B44" s="21" t="s">
        <v>386</v>
      </c>
      <c r="C44" s="21" t="s">
        <v>160</v>
      </c>
      <c r="D44" s="21" t="s">
        <v>161</v>
      </c>
      <c r="E44" s="17" t="s">
        <v>482</v>
      </c>
      <c r="F44" s="22" t="s">
        <v>483</v>
      </c>
      <c r="G44" s="17" t="str">
        <f t="shared" si="0"/>
        <v>浏览北京外围模特新人的独立资料、图片说明、内容介绍与相关推荐。</v>
      </c>
      <c r="H44" s="17" t="s">
        <v>484</v>
      </c>
      <c r="I44" s="17" t="s">
        <v>485</v>
      </c>
      <c r="J44" s="17" t="s">
        <v>486</v>
      </c>
      <c r="K44" s="17" t="str">
        <f t="shared" si="1"/>
        <v>以上是北京外围模特新人的照片、资料、无需注册登录即可浏览。</v>
      </c>
      <c r="L44" s="17" t="s">
        <v>392</v>
      </c>
      <c r="M44" s="17" t="s">
        <v>393</v>
      </c>
      <c r="N44" s="21" t="s">
        <v>487</v>
      </c>
      <c r="O44" s="21" t="s">
        <v>488</v>
      </c>
      <c r="P44" s="21" t="s">
        <v>489</v>
      </c>
      <c r="Q44" s="21" t="s">
        <v>490</v>
      </c>
      <c r="R44" s="21" t="s">
        <v>491</v>
      </c>
      <c r="S44" s="23" t="s">
        <v>56</v>
      </c>
      <c r="T44" s="21" t="s">
        <v>492</v>
      </c>
      <c r="U44" s="5" t="s">
        <v>58</v>
      </c>
      <c r="V44" s="17" t="s">
        <v>59</v>
      </c>
      <c r="W44" s="5" t="s">
        <v>56</v>
      </c>
      <c r="X44" s="5">
        <v>10</v>
      </c>
      <c r="Y44" s="18">
        <v>46289</v>
      </c>
      <c r="Z44" s="18">
        <v>46289</v>
      </c>
      <c r="AA44" s="5" t="str">
        <f t="shared" si="2"/>
        <v>北京外围模特新人主图</v>
      </c>
      <c r="AB44" s="5" t="str">
        <f t="shared" si="3"/>
        <v>北京外围模特新人资料主图</v>
      </c>
      <c r="AC44" s="5" t="str">
        <f t="shared" si="4"/>
        <v>北京外围模特新人细节图</v>
      </c>
      <c r="AD44" s="5" t="str">
        <f t="shared" si="5"/>
        <v>北京外围模特新人资料细节</v>
      </c>
      <c r="AE44" s="5" t="str">
        <f t="shared" si="6"/>
        <v>北京外围模特新人展示图</v>
      </c>
      <c r="AF44" s="5" t="str">
        <f t="shared" si="7"/>
        <v>北京外围模特新人资料展示</v>
      </c>
      <c r="AG44" s="17" t="str">
        <f t="shared" si="8"/>
        <v>北京外围模特新人资料视频</v>
      </c>
      <c r="AH44" s="17" t="str">
        <f t="shared" si="9"/>
        <v>北京外围模特新人相关资料视频</v>
      </c>
      <c r="AI44" s="5"/>
      <c r="AJ44" s="18"/>
      <c r="AK44" s="5"/>
      <c r="AL44" s="17" t="s">
        <v>60</v>
      </c>
    </row>
    <row r="45" ht="42" customHeight="1" spans="1:38">
      <c r="A45" s="20" t="s">
        <v>493</v>
      </c>
      <c r="B45" s="21" t="s">
        <v>494</v>
      </c>
      <c r="C45" s="21" t="s">
        <v>42</v>
      </c>
      <c r="D45" s="21" t="s">
        <v>43</v>
      </c>
      <c r="E45" s="17" t="s">
        <v>495</v>
      </c>
      <c r="F45" s="22" t="s">
        <v>496</v>
      </c>
      <c r="G45" s="5" t="str">
        <f t="shared" si="0"/>
        <v>浏览杭州外围模特蜜桃的独立资料、图片说明、内容介绍与相关推荐。</v>
      </c>
      <c r="H45" s="17" t="s">
        <v>497</v>
      </c>
      <c r="I45" s="17" t="s">
        <v>498</v>
      </c>
      <c r="J45" s="17" t="s">
        <v>499</v>
      </c>
      <c r="K45" s="5" t="str">
        <f t="shared" si="1"/>
        <v>以上是杭州外围模特蜜桃的照片、资料、无需注册登录即可浏览。</v>
      </c>
      <c r="L45" s="17" t="s">
        <v>500</v>
      </c>
      <c r="M45" s="17" t="s">
        <v>501</v>
      </c>
      <c r="N45" s="21" t="s">
        <v>502</v>
      </c>
      <c r="O45" s="21" t="s">
        <v>503</v>
      </c>
      <c r="P45" s="21" t="s">
        <v>504</v>
      </c>
      <c r="Q45" s="21" t="s">
        <v>505</v>
      </c>
      <c r="R45" s="21" t="s">
        <v>506</v>
      </c>
      <c r="S45" s="23" t="s">
        <v>56</v>
      </c>
      <c r="T45" s="21" t="s">
        <v>507</v>
      </c>
      <c r="U45" s="5" t="s">
        <v>58</v>
      </c>
      <c r="V45" s="17" t="s">
        <v>59</v>
      </c>
      <c r="W45" s="5" t="s">
        <v>56</v>
      </c>
      <c r="X45" s="5">
        <v>1</v>
      </c>
      <c r="Y45" s="18">
        <v>46289</v>
      </c>
      <c r="Z45" s="18">
        <v>46289</v>
      </c>
      <c r="AA45" s="5" t="str">
        <f t="shared" si="2"/>
        <v>杭州外围模特蜜桃主图</v>
      </c>
      <c r="AB45" s="5" t="str">
        <f t="shared" si="3"/>
        <v>杭州外围模特蜜桃资料主图</v>
      </c>
      <c r="AC45" s="5" t="str">
        <f t="shared" si="4"/>
        <v>杭州外围模特蜜桃细节图</v>
      </c>
      <c r="AD45" s="5" t="str">
        <f t="shared" si="5"/>
        <v>杭州外围模特蜜桃资料细节</v>
      </c>
      <c r="AE45" s="5" t="str">
        <f t="shared" si="6"/>
        <v>杭州外围模特蜜桃展示图</v>
      </c>
      <c r="AF45" s="5" t="str">
        <f t="shared" si="7"/>
        <v>杭州外围模特蜜桃资料展示</v>
      </c>
      <c r="AG45" s="5" t="str">
        <f t="shared" si="8"/>
        <v>杭州外围模特蜜桃资料视频</v>
      </c>
      <c r="AH45" s="5" t="str">
        <f t="shared" si="9"/>
        <v>杭州外围模特蜜桃相关资料视频</v>
      </c>
      <c r="AI45" s="5"/>
      <c r="AJ45" s="18"/>
      <c r="AK45" s="5"/>
      <c r="AL45" s="17" t="s">
        <v>60</v>
      </c>
    </row>
    <row r="46" ht="42" customHeight="1" spans="1:38">
      <c r="A46" s="20" t="s">
        <v>493</v>
      </c>
      <c r="B46" s="21" t="s">
        <v>494</v>
      </c>
      <c r="C46" s="21" t="s">
        <v>61</v>
      </c>
      <c r="D46" s="21" t="s">
        <v>62</v>
      </c>
      <c r="E46" s="17" t="s">
        <v>508</v>
      </c>
      <c r="F46" s="22" t="s">
        <v>509</v>
      </c>
      <c r="G46" s="5" t="str">
        <f t="shared" si="0"/>
        <v>浏览杭州外围模特欣儿的独立资料、图片说明、内容介绍与相关推荐。</v>
      </c>
      <c r="H46" s="17" t="s">
        <v>510</v>
      </c>
      <c r="I46" s="5" t="s">
        <v>126</v>
      </c>
      <c r="J46" s="17" t="s">
        <v>511</v>
      </c>
      <c r="K46" s="5" t="str">
        <f t="shared" si="1"/>
        <v>以上是杭州外围模特欣儿的照片、资料、无需注册登录即可浏览。</v>
      </c>
      <c r="L46" s="17" t="s">
        <v>500</v>
      </c>
      <c r="M46" s="17" t="s">
        <v>501</v>
      </c>
      <c r="N46" s="21" t="s">
        <v>512</v>
      </c>
      <c r="O46" s="21" t="s">
        <v>513</v>
      </c>
      <c r="P46" s="21" t="s">
        <v>514</v>
      </c>
      <c r="Q46" s="21" t="s">
        <v>515</v>
      </c>
      <c r="R46" s="21" t="s">
        <v>516</v>
      </c>
      <c r="S46" s="23" t="s">
        <v>56</v>
      </c>
      <c r="T46" s="21" t="s">
        <v>517</v>
      </c>
      <c r="U46" s="5" t="s">
        <v>58</v>
      </c>
      <c r="V46" s="17" t="s">
        <v>59</v>
      </c>
      <c r="W46" s="5" t="s">
        <v>56</v>
      </c>
      <c r="X46" s="5">
        <v>2</v>
      </c>
      <c r="Y46" s="18">
        <v>46289</v>
      </c>
      <c r="Z46" s="18">
        <v>46289</v>
      </c>
      <c r="AA46" s="5" t="str">
        <f t="shared" si="2"/>
        <v>杭州外围模特欣儿主图</v>
      </c>
      <c r="AB46" s="5" t="str">
        <f t="shared" si="3"/>
        <v>杭州外围模特欣儿资料主图</v>
      </c>
      <c r="AC46" s="5" t="str">
        <f t="shared" si="4"/>
        <v>杭州外围模特欣儿细节图</v>
      </c>
      <c r="AD46" s="5" t="str">
        <f t="shared" si="5"/>
        <v>杭州外围模特欣儿资料细节</v>
      </c>
      <c r="AE46" s="5" t="str">
        <f t="shared" si="6"/>
        <v>杭州外围模特欣儿展示图</v>
      </c>
      <c r="AF46" s="5" t="str">
        <f t="shared" si="7"/>
        <v>杭州外围模特欣儿资料展示</v>
      </c>
      <c r="AG46" s="5" t="str">
        <f t="shared" si="8"/>
        <v>杭州外围模特欣儿资料视频</v>
      </c>
      <c r="AH46" s="5" t="str">
        <f t="shared" si="9"/>
        <v>杭州外围模特欣儿相关资料视频</v>
      </c>
      <c r="AI46" s="5"/>
      <c r="AJ46" s="18"/>
      <c r="AK46" s="5"/>
      <c r="AL46" s="17" t="s">
        <v>60</v>
      </c>
    </row>
    <row r="47" ht="42" customHeight="1" spans="1:38">
      <c r="A47" s="20" t="s">
        <v>493</v>
      </c>
      <c r="B47" s="21" t="s">
        <v>494</v>
      </c>
      <c r="C47" s="21" t="s">
        <v>73</v>
      </c>
      <c r="D47" s="21" t="s">
        <v>74</v>
      </c>
      <c r="E47" s="17" t="s">
        <v>518</v>
      </c>
      <c r="F47" s="22" t="s">
        <v>519</v>
      </c>
      <c r="G47" s="5" t="str">
        <f t="shared" si="0"/>
        <v>浏览杭州外围模特楚楚的独立资料、图片说明、内容介绍与相关推荐。</v>
      </c>
      <c r="H47" s="17" t="s">
        <v>520</v>
      </c>
      <c r="I47" s="5" t="s">
        <v>139</v>
      </c>
      <c r="J47" s="17" t="s">
        <v>521</v>
      </c>
      <c r="K47" s="5" t="str">
        <f t="shared" si="1"/>
        <v>以上是杭州外围模特楚楚的照片、资料、无需注册登录即可浏览。</v>
      </c>
      <c r="L47" s="17" t="s">
        <v>500</v>
      </c>
      <c r="M47" s="17" t="s">
        <v>501</v>
      </c>
      <c r="N47" s="21" t="s">
        <v>522</v>
      </c>
      <c r="O47" s="21" t="s">
        <v>523</v>
      </c>
      <c r="P47" s="21" t="s">
        <v>524</v>
      </c>
      <c r="Q47" s="21" t="s">
        <v>525</v>
      </c>
      <c r="R47" s="21" t="s">
        <v>526</v>
      </c>
      <c r="S47" s="23" t="s">
        <v>56</v>
      </c>
      <c r="T47" s="21" t="s">
        <v>527</v>
      </c>
      <c r="U47" s="5" t="s">
        <v>58</v>
      </c>
      <c r="V47" s="17" t="s">
        <v>59</v>
      </c>
      <c r="W47" s="5" t="s">
        <v>56</v>
      </c>
      <c r="X47" s="5">
        <v>3</v>
      </c>
      <c r="Y47" s="18">
        <v>46289</v>
      </c>
      <c r="Z47" s="18">
        <v>46289</v>
      </c>
      <c r="AA47" s="5" t="str">
        <f t="shared" si="2"/>
        <v>杭州外围模特楚楚主图</v>
      </c>
      <c r="AB47" s="5" t="str">
        <f t="shared" si="3"/>
        <v>杭州外围模特楚楚资料主图</v>
      </c>
      <c r="AC47" s="5" t="str">
        <f t="shared" si="4"/>
        <v>杭州外围模特楚楚细节图</v>
      </c>
      <c r="AD47" s="5" t="str">
        <f t="shared" si="5"/>
        <v>杭州外围模特楚楚资料细节</v>
      </c>
      <c r="AE47" s="5" t="str">
        <f t="shared" si="6"/>
        <v>杭州外围模特楚楚展示图</v>
      </c>
      <c r="AF47" s="5" t="str">
        <f t="shared" si="7"/>
        <v>杭州外围模特楚楚资料展示</v>
      </c>
      <c r="AG47" s="5" t="str">
        <f t="shared" si="8"/>
        <v>杭州外围模特楚楚资料视频</v>
      </c>
      <c r="AH47" s="5" t="str">
        <f t="shared" si="9"/>
        <v>杭州外围模特楚楚相关资料视频</v>
      </c>
      <c r="AI47" s="5"/>
      <c r="AJ47" s="18"/>
      <c r="AK47" s="5"/>
      <c r="AL47" s="17" t="s">
        <v>60</v>
      </c>
    </row>
    <row r="48" ht="42" customHeight="1" spans="1:38">
      <c r="A48" s="20" t="s">
        <v>493</v>
      </c>
      <c r="B48" s="21" t="s">
        <v>494</v>
      </c>
      <c r="C48" s="21" t="s">
        <v>85</v>
      </c>
      <c r="D48" s="21" t="s">
        <v>86</v>
      </c>
      <c r="E48" s="17" t="s">
        <v>528</v>
      </c>
      <c r="F48" s="22" t="s">
        <v>529</v>
      </c>
      <c r="G48" s="5" t="str">
        <f t="shared" si="0"/>
        <v>浏览杭州外围模特mini的独立资料、图片说明、内容介绍与相关推荐。</v>
      </c>
      <c r="H48" s="17" t="s">
        <v>530</v>
      </c>
      <c r="I48" s="5" t="s">
        <v>212</v>
      </c>
      <c r="J48" s="17" t="s">
        <v>531</v>
      </c>
      <c r="K48" s="5" t="str">
        <f t="shared" si="1"/>
        <v>以上是杭州外围模特mini的照片、资料、无需注册登录即可浏览。</v>
      </c>
      <c r="L48" s="17" t="s">
        <v>500</v>
      </c>
      <c r="M48" s="17" t="s">
        <v>501</v>
      </c>
      <c r="N48" s="21" t="s">
        <v>532</v>
      </c>
      <c r="O48" s="21" t="s">
        <v>533</v>
      </c>
      <c r="P48" s="21" t="s">
        <v>534</v>
      </c>
      <c r="Q48" s="21" t="s">
        <v>535</v>
      </c>
      <c r="R48" s="21" t="s">
        <v>536</v>
      </c>
      <c r="S48" s="23" t="s">
        <v>56</v>
      </c>
      <c r="T48" s="21" t="s">
        <v>537</v>
      </c>
      <c r="U48" s="5" t="s">
        <v>58</v>
      </c>
      <c r="V48" s="17" t="s">
        <v>59</v>
      </c>
      <c r="W48" s="5" t="s">
        <v>56</v>
      </c>
      <c r="X48" s="5">
        <v>4</v>
      </c>
      <c r="Y48" s="18">
        <v>46289</v>
      </c>
      <c r="Z48" s="18">
        <v>46289</v>
      </c>
      <c r="AA48" s="5" t="str">
        <f t="shared" si="2"/>
        <v>杭州外围模特mini主图</v>
      </c>
      <c r="AB48" s="5" t="str">
        <f t="shared" si="3"/>
        <v>杭州外围模特mini资料主图</v>
      </c>
      <c r="AC48" s="5" t="str">
        <f t="shared" si="4"/>
        <v>杭州外围模特mini细节图</v>
      </c>
      <c r="AD48" s="5" t="str">
        <f t="shared" si="5"/>
        <v>杭州外围模特mini资料细节</v>
      </c>
      <c r="AE48" s="5" t="str">
        <f t="shared" si="6"/>
        <v>杭州外围模特mini展示图</v>
      </c>
      <c r="AF48" s="5" t="str">
        <f t="shared" si="7"/>
        <v>杭州外围模特mini资料展示</v>
      </c>
      <c r="AG48" s="5" t="str">
        <f t="shared" si="8"/>
        <v>杭州外围模特mini资料视频</v>
      </c>
      <c r="AH48" s="5" t="str">
        <f t="shared" si="9"/>
        <v>杭州外围模特mini相关资料视频</v>
      </c>
      <c r="AI48" s="5"/>
      <c r="AJ48" s="18"/>
      <c r="AK48" s="5"/>
      <c r="AL48" s="17" t="s">
        <v>60</v>
      </c>
    </row>
    <row r="49" ht="42" customHeight="1" spans="1:38">
      <c r="A49" s="20" t="s">
        <v>493</v>
      </c>
      <c r="B49" s="21" t="s">
        <v>494</v>
      </c>
      <c r="C49" s="21" t="s">
        <v>97</v>
      </c>
      <c r="D49" s="21" t="s">
        <v>98</v>
      </c>
      <c r="E49" s="17" t="s">
        <v>538</v>
      </c>
      <c r="F49" s="22" t="s">
        <v>539</v>
      </c>
      <c r="G49" s="5" t="str">
        <f t="shared" si="0"/>
        <v>浏览杭州外围模特婷婷的独立资料、图片说明、内容介绍与相关推荐。</v>
      </c>
      <c r="H49" s="17" t="s">
        <v>540</v>
      </c>
      <c r="I49" s="5" t="s">
        <v>165</v>
      </c>
      <c r="J49" s="17" t="s">
        <v>541</v>
      </c>
      <c r="K49" s="5" t="str">
        <f t="shared" si="1"/>
        <v>以上是杭州外围模特婷婷的照片、资料、无需注册登录即可浏览。</v>
      </c>
      <c r="L49" s="17" t="s">
        <v>500</v>
      </c>
      <c r="M49" s="17" t="s">
        <v>501</v>
      </c>
      <c r="N49" s="21" t="s">
        <v>542</v>
      </c>
      <c r="O49" s="21" t="s">
        <v>543</v>
      </c>
      <c r="P49" s="21" t="s">
        <v>544</v>
      </c>
      <c r="Q49" s="21" t="s">
        <v>545</v>
      </c>
      <c r="R49" s="21" t="s">
        <v>546</v>
      </c>
      <c r="S49" s="23" t="s">
        <v>56</v>
      </c>
      <c r="T49" s="21" t="s">
        <v>547</v>
      </c>
      <c r="U49" s="5" t="s">
        <v>58</v>
      </c>
      <c r="V49" s="17" t="s">
        <v>59</v>
      </c>
      <c r="W49" s="5" t="s">
        <v>56</v>
      </c>
      <c r="X49" s="5">
        <v>5</v>
      </c>
      <c r="Y49" s="18">
        <v>46289</v>
      </c>
      <c r="Z49" s="18">
        <v>46289</v>
      </c>
      <c r="AA49" s="5" t="str">
        <f t="shared" si="2"/>
        <v>杭州外围模特婷婷主图</v>
      </c>
      <c r="AB49" s="5" t="str">
        <f t="shared" si="3"/>
        <v>杭州外围模特婷婷资料主图</v>
      </c>
      <c r="AC49" s="5" t="str">
        <f t="shared" si="4"/>
        <v>杭州外围模特婷婷细节图</v>
      </c>
      <c r="AD49" s="5" t="str">
        <f t="shared" si="5"/>
        <v>杭州外围模特婷婷资料细节</v>
      </c>
      <c r="AE49" s="5" t="str">
        <f t="shared" si="6"/>
        <v>杭州外围模特婷婷展示图</v>
      </c>
      <c r="AF49" s="5" t="str">
        <f t="shared" si="7"/>
        <v>杭州外围模特婷婷资料展示</v>
      </c>
      <c r="AG49" s="5" t="str">
        <f t="shared" si="8"/>
        <v>杭州外围模特婷婷资料视频</v>
      </c>
      <c r="AH49" s="5" t="str">
        <f t="shared" si="9"/>
        <v>杭州外围模特婷婷相关资料视频</v>
      </c>
      <c r="AI49" s="5"/>
      <c r="AJ49" s="18"/>
      <c r="AK49" s="5"/>
      <c r="AL49" s="17" t="s">
        <v>60</v>
      </c>
    </row>
    <row r="50" ht="42" customHeight="1" spans="1:38">
      <c r="A50" s="20" t="s">
        <v>493</v>
      </c>
      <c r="B50" s="21" t="s">
        <v>494</v>
      </c>
      <c r="C50" s="21" t="s">
        <v>109</v>
      </c>
      <c r="D50" s="21" t="s">
        <v>110</v>
      </c>
      <c r="E50" s="17" t="s">
        <v>548</v>
      </c>
      <c r="F50" s="22" t="s">
        <v>549</v>
      </c>
      <c r="G50" s="5" t="str">
        <f t="shared" si="0"/>
        <v>浏览杭州外围模特可可的独立资料、图片说明、内容介绍与相关推荐。</v>
      </c>
      <c r="H50" s="17" t="s">
        <v>550</v>
      </c>
      <c r="I50" s="5" t="s">
        <v>179</v>
      </c>
      <c r="J50" s="17" t="s">
        <v>551</v>
      </c>
      <c r="K50" s="5" t="str">
        <f t="shared" si="1"/>
        <v>以上是杭州外围模特可可的照片、资料、无需注册登录即可浏览。</v>
      </c>
      <c r="L50" s="17" t="s">
        <v>500</v>
      </c>
      <c r="M50" s="17" t="s">
        <v>501</v>
      </c>
      <c r="N50" s="21" t="s">
        <v>552</v>
      </c>
      <c r="O50" s="21" t="s">
        <v>553</v>
      </c>
      <c r="P50" s="21" t="s">
        <v>554</v>
      </c>
      <c r="Q50" s="21" t="s">
        <v>555</v>
      </c>
      <c r="R50" s="21" t="s">
        <v>556</v>
      </c>
      <c r="S50" s="23" t="s">
        <v>56</v>
      </c>
      <c r="T50" s="21" t="s">
        <v>557</v>
      </c>
      <c r="U50" s="5" t="s">
        <v>58</v>
      </c>
      <c r="V50" s="17" t="s">
        <v>59</v>
      </c>
      <c r="W50" s="5" t="s">
        <v>56</v>
      </c>
      <c r="X50" s="5">
        <v>6</v>
      </c>
      <c r="Y50" s="18">
        <v>46289</v>
      </c>
      <c r="Z50" s="18">
        <v>46289</v>
      </c>
      <c r="AA50" s="5" t="str">
        <f t="shared" si="2"/>
        <v>杭州外围模特可可主图</v>
      </c>
      <c r="AB50" s="5" t="str">
        <f t="shared" si="3"/>
        <v>杭州外围模特可可资料主图</v>
      </c>
      <c r="AC50" s="5" t="str">
        <f t="shared" si="4"/>
        <v>杭州外围模特可可细节图</v>
      </c>
      <c r="AD50" s="5" t="str">
        <f t="shared" si="5"/>
        <v>杭州外围模特可可资料细节</v>
      </c>
      <c r="AE50" s="5" t="str">
        <f t="shared" si="6"/>
        <v>杭州外围模特可可展示图</v>
      </c>
      <c r="AF50" s="5" t="str">
        <f t="shared" si="7"/>
        <v>杭州外围模特可可资料展示</v>
      </c>
      <c r="AG50" s="5" t="str">
        <f t="shared" si="8"/>
        <v>杭州外围模特可可资料视频</v>
      </c>
      <c r="AH50" s="5" t="str">
        <f t="shared" si="9"/>
        <v>杭州外围模特可可相关资料视频</v>
      </c>
      <c r="AI50" s="5"/>
      <c r="AJ50" s="18"/>
      <c r="AK50" s="5"/>
      <c r="AL50" s="17" t="s">
        <v>60</v>
      </c>
    </row>
    <row r="51" ht="42" customHeight="1" spans="1:38">
      <c r="A51" s="20" t="s">
        <v>493</v>
      </c>
      <c r="B51" s="21" t="s">
        <v>494</v>
      </c>
      <c r="C51" s="21" t="s">
        <v>121</v>
      </c>
      <c r="D51" s="21" t="s">
        <v>122</v>
      </c>
      <c r="E51" s="17" t="s">
        <v>558</v>
      </c>
      <c r="F51" s="22" t="s">
        <v>559</v>
      </c>
      <c r="G51" s="5" t="str">
        <f t="shared" si="0"/>
        <v>浏览杭州外围模特卡卡的独立资料、图片说明、内容介绍与相关推荐。</v>
      </c>
      <c r="H51" s="17" t="s">
        <v>560</v>
      </c>
      <c r="I51" s="5" t="s">
        <v>126</v>
      </c>
      <c r="J51" s="17" t="s">
        <v>561</v>
      </c>
      <c r="K51" s="5" t="str">
        <f t="shared" si="1"/>
        <v>以上是杭州外围模特卡卡的照片、资料、无需注册登录即可浏览。</v>
      </c>
      <c r="L51" s="17" t="s">
        <v>500</v>
      </c>
      <c r="M51" s="17" t="s">
        <v>501</v>
      </c>
      <c r="N51" s="21" t="s">
        <v>562</v>
      </c>
      <c r="O51" s="21" t="s">
        <v>563</v>
      </c>
      <c r="P51" s="21" t="s">
        <v>564</v>
      </c>
      <c r="Q51" s="21" t="s">
        <v>565</v>
      </c>
      <c r="R51" s="21" t="s">
        <v>566</v>
      </c>
      <c r="S51" s="23" t="s">
        <v>56</v>
      </c>
      <c r="T51" s="21" t="s">
        <v>567</v>
      </c>
      <c r="U51" s="5" t="s">
        <v>58</v>
      </c>
      <c r="V51" s="17" t="s">
        <v>59</v>
      </c>
      <c r="W51" s="5" t="s">
        <v>56</v>
      </c>
      <c r="X51" s="5">
        <v>7</v>
      </c>
      <c r="Y51" s="18">
        <v>46289</v>
      </c>
      <c r="Z51" s="18">
        <v>46289</v>
      </c>
      <c r="AA51" s="5" t="str">
        <f t="shared" si="2"/>
        <v>杭州外围模特卡卡主图</v>
      </c>
      <c r="AB51" s="5" t="str">
        <f t="shared" si="3"/>
        <v>杭州外围模特卡卡资料主图</v>
      </c>
      <c r="AC51" s="5" t="str">
        <f t="shared" si="4"/>
        <v>杭州外围模特卡卡细节图</v>
      </c>
      <c r="AD51" s="5" t="str">
        <f t="shared" si="5"/>
        <v>杭州外围模特卡卡资料细节</v>
      </c>
      <c r="AE51" s="5" t="str">
        <f t="shared" si="6"/>
        <v>杭州外围模特卡卡展示图</v>
      </c>
      <c r="AF51" s="5" t="str">
        <f t="shared" si="7"/>
        <v>杭州外围模特卡卡资料展示</v>
      </c>
      <c r="AG51" s="5" t="str">
        <f t="shared" si="8"/>
        <v>杭州外围模特卡卡资料视频</v>
      </c>
      <c r="AH51" s="5" t="str">
        <f t="shared" si="9"/>
        <v>杭州外围模特卡卡相关资料视频</v>
      </c>
      <c r="AI51" s="5"/>
      <c r="AJ51" s="18"/>
      <c r="AK51" s="5"/>
      <c r="AL51" s="17" t="s">
        <v>60</v>
      </c>
    </row>
    <row r="52" ht="42" customHeight="1" spans="1:38">
      <c r="A52" s="20" t="s">
        <v>493</v>
      </c>
      <c r="B52" s="21" t="s">
        <v>494</v>
      </c>
      <c r="C52" s="21" t="s">
        <v>134</v>
      </c>
      <c r="D52" s="21" t="s">
        <v>135</v>
      </c>
      <c r="E52" s="17" t="s">
        <v>568</v>
      </c>
      <c r="F52" s="22" t="s">
        <v>569</v>
      </c>
      <c r="G52" s="5" t="str">
        <f t="shared" si="0"/>
        <v>浏览杭州外围模特橙橙 的独立资料、图片说明、内容介绍与相关推荐。</v>
      </c>
      <c r="H52" s="17" t="s">
        <v>570</v>
      </c>
      <c r="I52" s="5" t="s">
        <v>139</v>
      </c>
      <c r="J52" s="17" t="s">
        <v>571</v>
      </c>
      <c r="K52" s="5" t="str">
        <f t="shared" si="1"/>
        <v>以上是杭州外围模特橙橙 的照片、资料、无需注册登录即可浏览。</v>
      </c>
      <c r="L52" s="17" t="s">
        <v>500</v>
      </c>
      <c r="M52" s="17" t="s">
        <v>501</v>
      </c>
      <c r="N52" s="21" t="s">
        <v>572</v>
      </c>
      <c r="O52" s="21" t="s">
        <v>573</v>
      </c>
      <c r="P52" s="21" t="s">
        <v>574</v>
      </c>
      <c r="Q52" s="21" t="s">
        <v>575</v>
      </c>
      <c r="R52" s="21" t="s">
        <v>576</v>
      </c>
      <c r="S52" s="23" t="s">
        <v>56</v>
      </c>
      <c r="T52" s="21" t="s">
        <v>577</v>
      </c>
      <c r="U52" s="5" t="s">
        <v>58</v>
      </c>
      <c r="V52" s="17" t="s">
        <v>59</v>
      </c>
      <c r="W52" s="5" t="s">
        <v>56</v>
      </c>
      <c r="X52" s="5">
        <v>8</v>
      </c>
      <c r="Y52" s="18">
        <v>46289</v>
      </c>
      <c r="Z52" s="18">
        <v>46289</v>
      </c>
      <c r="AA52" s="5" t="str">
        <f t="shared" si="2"/>
        <v>杭州外围模特橙橙 主图</v>
      </c>
      <c r="AB52" s="5" t="str">
        <f t="shared" si="3"/>
        <v>杭州外围模特橙橙 资料主图</v>
      </c>
      <c r="AC52" s="5" t="str">
        <f t="shared" si="4"/>
        <v>杭州外围模特橙橙 细节图</v>
      </c>
      <c r="AD52" s="5" t="str">
        <f t="shared" si="5"/>
        <v>杭州外围模特橙橙 资料细节</v>
      </c>
      <c r="AE52" s="5" t="str">
        <f t="shared" si="6"/>
        <v>杭州外围模特橙橙 展示图</v>
      </c>
      <c r="AF52" s="5" t="str">
        <f t="shared" si="7"/>
        <v>杭州外围模特橙橙 资料展示</v>
      </c>
      <c r="AG52" s="5" t="str">
        <f t="shared" si="8"/>
        <v>杭州外围模特橙橙 资料视频</v>
      </c>
      <c r="AH52" s="5" t="str">
        <f t="shared" si="9"/>
        <v>杭州外围模特橙橙 相关资料视频</v>
      </c>
      <c r="AI52" s="5"/>
      <c r="AJ52" s="18"/>
      <c r="AK52" s="5"/>
      <c r="AL52" s="17" t="s">
        <v>60</v>
      </c>
    </row>
    <row r="53" ht="42" customHeight="1" spans="1:38">
      <c r="A53" s="20" t="s">
        <v>493</v>
      </c>
      <c r="B53" s="21" t="s">
        <v>494</v>
      </c>
      <c r="C53" s="21" t="s">
        <v>147</v>
      </c>
      <c r="D53" s="21" t="s">
        <v>148</v>
      </c>
      <c r="E53" s="17" t="s">
        <v>578</v>
      </c>
      <c r="F53" s="22" t="s">
        <v>579</v>
      </c>
      <c r="G53" s="5" t="str">
        <f t="shared" si="0"/>
        <v>浏览杭州外围模特朵朵的独立资料、图片说明、内容介绍与相关推荐。</v>
      </c>
      <c r="H53" s="17" t="s">
        <v>580</v>
      </c>
      <c r="I53" s="5" t="s">
        <v>212</v>
      </c>
      <c r="J53" s="17" t="s">
        <v>581</v>
      </c>
      <c r="K53" s="5" t="str">
        <f t="shared" si="1"/>
        <v>以上是杭州外围模特朵朵的照片、资料、无需注册登录即可浏览。</v>
      </c>
      <c r="L53" s="17" t="s">
        <v>500</v>
      </c>
      <c r="M53" s="17" t="s">
        <v>501</v>
      </c>
      <c r="N53" s="21" t="s">
        <v>582</v>
      </c>
      <c r="O53" s="21" t="s">
        <v>583</v>
      </c>
      <c r="P53" s="21" t="s">
        <v>584</v>
      </c>
      <c r="Q53" s="21" t="s">
        <v>585</v>
      </c>
      <c r="R53" s="21" t="s">
        <v>586</v>
      </c>
      <c r="S53" s="23" t="s">
        <v>56</v>
      </c>
      <c r="T53" s="21" t="s">
        <v>587</v>
      </c>
      <c r="U53" s="5" t="s">
        <v>58</v>
      </c>
      <c r="V53" s="17" t="s">
        <v>59</v>
      </c>
      <c r="W53" s="5" t="s">
        <v>56</v>
      </c>
      <c r="X53" s="5">
        <v>9</v>
      </c>
      <c r="Y53" s="18">
        <v>46289</v>
      </c>
      <c r="Z53" s="18">
        <v>46289</v>
      </c>
      <c r="AA53" s="5" t="str">
        <f t="shared" si="2"/>
        <v>杭州外围模特朵朵主图</v>
      </c>
      <c r="AB53" s="5" t="str">
        <f t="shared" si="3"/>
        <v>杭州外围模特朵朵资料主图</v>
      </c>
      <c r="AC53" s="5" t="str">
        <f t="shared" si="4"/>
        <v>杭州外围模特朵朵细节图</v>
      </c>
      <c r="AD53" s="5" t="str">
        <f t="shared" si="5"/>
        <v>杭州外围模特朵朵资料细节</v>
      </c>
      <c r="AE53" s="5" t="str">
        <f t="shared" si="6"/>
        <v>杭州外围模特朵朵展示图</v>
      </c>
      <c r="AF53" s="5" t="str">
        <f t="shared" si="7"/>
        <v>杭州外围模特朵朵资料展示</v>
      </c>
      <c r="AG53" s="5" t="str">
        <f t="shared" si="8"/>
        <v>杭州外围模特朵朵资料视频</v>
      </c>
      <c r="AH53" s="5" t="str">
        <f t="shared" si="9"/>
        <v>杭州外围模特朵朵相关资料视频</v>
      </c>
      <c r="AI53" s="5"/>
      <c r="AJ53" s="18"/>
      <c r="AK53" s="5"/>
      <c r="AL53" s="17" t="s">
        <v>60</v>
      </c>
    </row>
    <row r="54" ht="42" customHeight="1" spans="1:38">
      <c r="A54" s="20" t="s">
        <v>493</v>
      </c>
      <c r="B54" s="21" t="s">
        <v>494</v>
      </c>
      <c r="C54" s="21" t="s">
        <v>160</v>
      </c>
      <c r="D54" s="21" t="s">
        <v>161</v>
      </c>
      <c r="E54" s="17" t="s">
        <v>588</v>
      </c>
      <c r="F54" s="22" t="s">
        <v>589</v>
      </c>
      <c r="G54" s="5" t="str">
        <f t="shared" si="0"/>
        <v>浏览杭州外围模特周周的独立资料、图片说明、内容介绍与相关推荐。</v>
      </c>
      <c r="H54" s="17" t="s">
        <v>590</v>
      </c>
      <c r="I54" s="5" t="s">
        <v>165</v>
      </c>
      <c r="J54" s="17" t="s">
        <v>591</v>
      </c>
      <c r="K54" s="5" t="str">
        <f t="shared" si="1"/>
        <v>以上是杭州外围模特周周的照片、资料、无需注册登录即可浏览。</v>
      </c>
      <c r="L54" s="17" t="s">
        <v>500</v>
      </c>
      <c r="M54" s="17" t="s">
        <v>501</v>
      </c>
      <c r="N54" s="21" t="s">
        <v>592</v>
      </c>
      <c r="O54" s="21" t="s">
        <v>593</v>
      </c>
      <c r="P54" s="21" t="s">
        <v>594</v>
      </c>
      <c r="Q54" s="21" t="s">
        <v>595</v>
      </c>
      <c r="R54" s="21" t="s">
        <v>596</v>
      </c>
      <c r="S54" s="23" t="s">
        <v>56</v>
      </c>
      <c r="T54" s="21" t="s">
        <v>597</v>
      </c>
      <c r="U54" s="5" t="s">
        <v>58</v>
      </c>
      <c r="V54" s="17" t="s">
        <v>59</v>
      </c>
      <c r="W54" s="5" t="s">
        <v>56</v>
      </c>
      <c r="X54" s="5">
        <v>10</v>
      </c>
      <c r="Y54" s="18">
        <v>46289</v>
      </c>
      <c r="Z54" s="18">
        <v>46289</v>
      </c>
      <c r="AA54" s="5" t="str">
        <f t="shared" si="2"/>
        <v>杭州外围模特周周主图</v>
      </c>
      <c r="AB54" s="5" t="str">
        <f t="shared" si="3"/>
        <v>杭州外围模特周周资料主图</v>
      </c>
      <c r="AC54" s="5" t="str">
        <f t="shared" si="4"/>
        <v>杭州外围模特周周细节图</v>
      </c>
      <c r="AD54" s="5" t="str">
        <f t="shared" si="5"/>
        <v>杭州外围模特周周资料细节</v>
      </c>
      <c r="AE54" s="5" t="str">
        <f t="shared" si="6"/>
        <v>杭州外围模特周周展示图</v>
      </c>
      <c r="AF54" s="5" t="str">
        <f t="shared" si="7"/>
        <v>杭州外围模特周周资料展示</v>
      </c>
      <c r="AG54" s="5" t="str">
        <f t="shared" si="8"/>
        <v>杭州外围模特周周资料视频</v>
      </c>
      <c r="AH54" s="5" t="str">
        <f t="shared" si="9"/>
        <v>杭州外围模特周周相关资料视频</v>
      </c>
      <c r="AI54" s="5"/>
      <c r="AJ54" s="18"/>
      <c r="AK54" s="5"/>
      <c r="AL54" s="17" t="s">
        <v>60</v>
      </c>
    </row>
    <row r="55" ht="42" customHeight="1" spans="1:38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8"/>
      <c r="U55" s="5"/>
      <c r="V55" s="5"/>
      <c r="W55" s="5"/>
      <c r="X55" s="5"/>
      <c r="Y55" s="18"/>
      <c r="Z55" s="18"/>
      <c r="AA55" s="5"/>
      <c r="AB55" s="5"/>
      <c r="AC55" s="5"/>
      <c r="AD55" s="5"/>
      <c r="AE55" s="5"/>
      <c r="AF55" s="5"/>
      <c r="AG55" s="5"/>
      <c r="AH55" s="5"/>
      <c r="AI55" s="5"/>
      <c r="AJ55" s="18"/>
      <c r="AK55" s="5"/>
      <c r="AL55" s="5"/>
    </row>
    <row r="56" ht="42" customHeight="1" spans="1:38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8"/>
      <c r="U56" s="5"/>
      <c r="V56" s="5"/>
      <c r="W56" s="5"/>
      <c r="X56" s="5"/>
      <c r="Y56" s="18"/>
      <c r="Z56" s="18"/>
      <c r="AA56" s="5"/>
      <c r="AB56" s="5"/>
      <c r="AC56" s="5"/>
      <c r="AD56" s="5"/>
      <c r="AE56" s="5"/>
      <c r="AF56" s="5"/>
      <c r="AG56" s="5"/>
      <c r="AH56" s="5"/>
      <c r="AI56" s="5"/>
      <c r="AJ56" s="18"/>
      <c r="AK56" s="5"/>
      <c r="AL56" s="5"/>
    </row>
    <row r="57" ht="42" customHeight="1" spans="1:38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8"/>
      <c r="U57" s="5"/>
      <c r="V57" s="5"/>
      <c r="W57" s="5"/>
      <c r="X57" s="5"/>
      <c r="Y57" s="18"/>
      <c r="Z57" s="18"/>
      <c r="AA57" s="5"/>
      <c r="AB57" s="5"/>
      <c r="AC57" s="5"/>
      <c r="AD57" s="5"/>
      <c r="AE57" s="5"/>
      <c r="AF57" s="5"/>
      <c r="AG57" s="5"/>
      <c r="AH57" s="5"/>
      <c r="AI57" s="5"/>
      <c r="AJ57" s="18"/>
      <c r="AK57" s="5"/>
      <c r="AL57" s="5"/>
    </row>
    <row r="58" ht="42" customHeight="1" spans="1:3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8"/>
      <c r="U58" s="5"/>
      <c r="V58" s="5"/>
      <c r="W58" s="5"/>
      <c r="X58" s="5"/>
      <c r="Y58" s="18"/>
      <c r="Z58" s="18"/>
      <c r="AA58" s="5"/>
      <c r="AB58" s="5"/>
      <c r="AC58" s="5"/>
      <c r="AD58" s="5"/>
      <c r="AE58" s="5"/>
      <c r="AF58" s="5"/>
      <c r="AG58" s="5"/>
      <c r="AH58" s="5"/>
      <c r="AI58" s="5"/>
      <c r="AJ58" s="18"/>
      <c r="AK58" s="5"/>
      <c r="AL58" s="5"/>
    </row>
    <row r="59" ht="42" customHeight="1" spans="1:38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8"/>
      <c r="U59" s="5"/>
      <c r="V59" s="5"/>
      <c r="W59" s="5"/>
      <c r="X59" s="5"/>
      <c r="Y59" s="18"/>
      <c r="Z59" s="18"/>
      <c r="AA59" s="5"/>
      <c r="AB59" s="5"/>
      <c r="AC59" s="5"/>
      <c r="AD59" s="5"/>
      <c r="AE59" s="5"/>
      <c r="AF59" s="5"/>
      <c r="AG59" s="5"/>
      <c r="AH59" s="5"/>
      <c r="AI59" s="5"/>
      <c r="AJ59" s="18"/>
      <c r="AK59" s="5"/>
      <c r="AL59" s="5"/>
    </row>
    <row r="60" ht="42" customHeight="1" spans="1:38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8"/>
      <c r="U60" s="5"/>
      <c r="V60" s="5"/>
      <c r="W60" s="5"/>
      <c r="X60" s="5"/>
      <c r="Y60" s="18"/>
      <c r="Z60" s="18"/>
      <c r="AA60" s="5"/>
      <c r="AB60" s="5"/>
      <c r="AC60" s="5"/>
      <c r="AD60" s="5"/>
      <c r="AE60" s="5"/>
      <c r="AF60" s="5"/>
      <c r="AG60" s="5"/>
      <c r="AH60" s="5"/>
      <c r="AI60" s="5"/>
      <c r="AJ60" s="18"/>
      <c r="AK60" s="5"/>
      <c r="AL60" s="5"/>
    </row>
    <row r="61" ht="42" customHeight="1" spans="1:38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8"/>
      <c r="U61" s="5"/>
      <c r="V61" s="5"/>
      <c r="W61" s="5"/>
      <c r="X61" s="5"/>
      <c r="Y61" s="18"/>
      <c r="Z61" s="18"/>
      <c r="AA61" s="5"/>
      <c r="AB61" s="5"/>
      <c r="AC61" s="5"/>
      <c r="AD61" s="5"/>
      <c r="AE61" s="5"/>
      <c r="AF61" s="5"/>
      <c r="AG61" s="5"/>
      <c r="AH61" s="5"/>
      <c r="AI61" s="5"/>
      <c r="AJ61" s="18"/>
      <c r="AK61" s="5"/>
      <c r="AL61" s="5"/>
    </row>
    <row r="62" ht="42" customHeight="1" spans="1:38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8"/>
      <c r="U62" s="5"/>
      <c r="V62" s="5"/>
      <c r="W62" s="5"/>
      <c r="X62" s="5"/>
      <c r="Y62" s="18"/>
      <c r="Z62" s="18"/>
      <c r="AA62" s="5"/>
      <c r="AB62" s="5"/>
      <c r="AC62" s="5"/>
      <c r="AD62" s="5"/>
      <c r="AE62" s="5"/>
      <c r="AF62" s="5"/>
      <c r="AG62" s="5"/>
      <c r="AH62" s="5"/>
      <c r="AI62" s="5"/>
      <c r="AJ62" s="18"/>
      <c r="AK62" s="5"/>
      <c r="AL62" s="5"/>
    </row>
    <row r="63" ht="42" customHeight="1" spans="1:38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8"/>
      <c r="U63" s="5"/>
      <c r="V63" s="5"/>
      <c r="W63" s="5"/>
      <c r="X63" s="5"/>
      <c r="Y63" s="18"/>
      <c r="Z63" s="18"/>
      <c r="AA63" s="5"/>
      <c r="AB63" s="5"/>
      <c r="AC63" s="5"/>
      <c r="AD63" s="5"/>
      <c r="AE63" s="5"/>
      <c r="AF63" s="5"/>
      <c r="AG63" s="5"/>
      <c r="AH63" s="5"/>
      <c r="AI63" s="5"/>
      <c r="AJ63" s="18"/>
      <c r="AK63" s="5"/>
      <c r="AL63" s="5"/>
    </row>
    <row r="64" ht="42" customHeight="1" spans="1:38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8"/>
      <c r="U64" s="5"/>
      <c r="V64" s="5"/>
      <c r="W64" s="5"/>
      <c r="X64" s="5"/>
      <c r="Y64" s="18"/>
      <c r="Z64" s="18"/>
      <c r="AA64" s="5"/>
      <c r="AB64" s="5"/>
      <c r="AC64" s="5"/>
      <c r="AD64" s="5"/>
      <c r="AE64" s="5"/>
      <c r="AF64" s="5"/>
      <c r="AG64" s="5"/>
      <c r="AH64" s="5"/>
      <c r="AI64" s="5"/>
      <c r="AJ64" s="18"/>
      <c r="AK64" s="5"/>
      <c r="AL64" s="5"/>
    </row>
    <row r="65" ht="42" customHeight="1" spans="1:38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8"/>
      <c r="U65" s="5"/>
      <c r="V65" s="5"/>
      <c r="W65" s="5"/>
      <c r="X65" s="5"/>
      <c r="Y65" s="18"/>
      <c r="Z65" s="18"/>
      <c r="AA65" s="5"/>
      <c r="AB65" s="5"/>
      <c r="AC65" s="5"/>
      <c r="AD65" s="5"/>
      <c r="AE65" s="5"/>
      <c r="AF65" s="5"/>
      <c r="AG65" s="5"/>
      <c r="AH65" s="5"/>
      <c r="AI65" s="5"/>
      <c r="AJ65" s="18"/>
      <c r="AK65" s="5"/>
      <c r="AL65" s="5"/>
    </row>
    <row r="66" ht="42" customHeight="1" spans="1:38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8"/>
      <c r="U66" s="5"/>
      <c r="V66" s="5"/>
      <c r="W66" s="5"/>
      <c r="X66" s="5"/>
      <c r="Y66" s="18"/>
      <c r="Z66" s="18"/>
      <c r="AA66" s="5"/>
      <c r="AB66" s="5"/>
      <c r="AC66" s="5"/>
      <c r="AD66" s="5"/>
      <c r="AE66" s="5"/>
      <c r="AF66" s="5"/>
      <c r="AG66" s="5"/>
      <c r="AH66" s="5"/>
      <c r="AI66" s="5"/>
      <c r="AJ66" s="18"/>
      <c r="AK66" s="5"/>
      <c r="AL66" s="5"/>
    </row>
    <row r="67" ht="42" customHeight="1" spans="1:38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8"/>
      <c r="U67" s="5"/>
      <c r="V67" s="5"/>
      <c r="W67" s="5"/>
      <c r="X67" s="5"/>
      <c r="Y67" s="18"/>
      <c r="Z67" s="18"/>
      <c r="AA67" s="5"/>
      <c r="AB67" s="5"/>
      <c r="AC67" s="5"/>
      <c r="AD67" s="5"/>
      <c r="AE67" s="5"/>
      <c r="AF67" s="5"/>
      <c r="AG67" s="5"/>
      <c r="AH67" s="5"/>
      <c r="AI67" s="5"/>
      <c r="AJ67" s="18"/>
      <c r="AK67" s="5"/>
      <c r="AL67" s="5"/>
    </row>
    <row r="68" ht="42" customHeight="1" spans="1:3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8"/>
      <c r="U68" s="5"/>
      <c r="V68" s="5"/>
      <c r="W68" s="5"/>
      <c r="X68" s="5"/>
      <c r="Y68" s="18"/>
      <c r="Z68" s="18"/>
      <c r="AA68" s="5"/>
      <c r="AB68" s="5"/>
      <c r="AC68" s="5"/>
      <c r="AD68" s="5"/>
      <c r="AE68" s="5"/>
      <c r="AF68" s="5"/>
      <c r="AG68" s="5"/>
      <c r="AH68" s="5"/>
      <c r="AI68" s="5"/>
      <c r="AJ68" s="18"/>
      <c r="AK68" s="5"/>
      <c r="AL68" s="5"/>
    </row>
    <row r="69" ht="42" customHeight="1" spans="1:38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8"/>
      <c r="U69" s="5"/>
      <c r="V69" s="5"/>
      <c r="W69" s="5"/>
      <c r="X69" s="5"/>
      <c r="Y69" s="18"/>
      <c r="Z69" s="18"/>
      <c r="AA69" s="5"/>
      <c r="AB69" s="5"/>
      <c r="AC69" s="5"/>
      <c r="AD69" s="5"/>
      <c r="AE69" s="5"/>
      <c r="AF69" s="5"/>
      <c r="AG69" s="5"/>
      <c r="AH69" s="5"/>
      <c r="AI69" s="5"/>
      <c r="AJ69" s="18"/>
      <c r="AK69" s="5"/>
      <c r="AL69" s="5"/>
    </row>
    <row r="70" ht="42" customHeight="1" spans="1:38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8"/>
      <c r="U70" s="5"/>
      <c r="V70" s="5"/>
      <c r="W70" s="5"/>
      <c r="X70" s="5"/>
      <c r="Y70" s="18"/>
      <c r="Z70" s="18"/>
      <c r="AA70" s="5"/>
      <c r="AB70" s="5"/>
      <c r="AC70" s="5"/>
      <c r="AD70" s="5"/>
      <c r="AE70" s="5"/>
      <c r="AF70" s="5"/>
      <c r="AG70" s="5"/>
      <c r="AH70" s="5"/>
      <c r="AI70" s="5"/>
      <c r="AJ70" s="18"/>
      <c r="AK70" s="5"/>
      <c r="AL70" s="5"/>
    </row>
    <row r="71" ht="42" customHeight="1" spans="1:38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8"/>
      <c r="U71" s="5"/>
      <c r="V71" s="5"/>
      <c r="W71" s="5"/>
      <c r="X71" s="5"/>
      <c r="Y71" s="18"/>
      <c r="Z71" s="18"/>
      <c r="AA71" s="5"/>
      <c r="AB71" s="5"/>
      <c r="AC71" s="5"/>
      <c r="AD71" s="5"/>
      <c r="AE71" s="5"/>
      <c r="AF71" s="5"/>
      <c r="AG71" s="5"/>
      <c r="AH71" s="5"/>
      <c r="AI71" s="5"/>
      <c r="AJ71" s="18"/>
      <c r="AK71" s="5"/>
      <c r="AL71" s="5"/>
    </row>
    <row r="72" ht="42" customHeight="1" spans="1:38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8"/>
      <c r="U72" s="5"/>
      <c r="V72" s="5"/>
      <c r="W72" s="5"/>
      <c r="X72" s="5"/>
      <c r="Y72" s="18"/>
      <c r="Z72" s="18"/>
      <c r="AA72" s="5"/>
      <c r="AB72" s="5"/>
      <c r="AC72" s="5"/>
      <c r="AD72" s="5"/>
      <c r="AE72" s="5"/>
      <c r="AF72" s="5"/>
      <c r="AG72" s="5"/>
      <c r="AH72" s="5"/>
      <c r="AI72" s="5"/>
      <c r="AJ72" s="18"/>
      <c r="AK72" s="5"/>
      <c r="AL72" s="5"/>
    </row>
    <row r="73" ht="42" customHeight="1" spans="1:38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8"/>
      <c r="U73" s="5"/>
      <c r="V73" s="5"/>
      <c r="W73" s="5"/>
      <c r="X73" s="5"/>
      <c r="Y73" s="18"/>
      <c r="Z73" s="18"/>
      <c r="AA73" s="5"/>
      <c r="AB73" s="5"/>
      <c r="AC73" s="5"/>
      <c r="AD73" s="5"/>
      <c r="AE73" s="5"/>
      <c r="AF73" s="5"/>
      <c r="AG73" s="5"/>
      <c r="AH73" s="5"/>
      <c r="AI73" s="5"/>
      <c r="AJ73" s="18"/>
      <c r="AK73" s="5"/>
      <c r="AL73" s="5"/>
    </row>
    <row r="74" ht="42" customHeight="1" spans="1:38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8"/>
      <c r="U74" s="5"/>
      <c r="V74" s="5"/>
      <c r="W74" s="5"/>
      <c r="X74" s="5"/>
      <c r="Y74" s="18"/>
      <c r="Z74" s="18"/>
      <c r="AA74" s="5"/>
      <c r="AB74" s="5"/>
      <c r="AC74" s="5"/>
      <c r="AD74" s="5"/>
      <c r="AE74" s="5"/>
      <c r="AF74" s="5"/>
      <c r="AG74" s="5"/>
      <c r="AH74" s="5"/>
      <c r="AI74" s="5"/>
      <c r="AJ74" s="18"/>
      <c r="AK74" s="5"/>
      <c r="AL74" s="5"/>
    </row>
    <row r="75" ht="42" customHeight="1" spans="1:38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8"/>
      <c r="U75" s="5"/>
      <c r="V75" s="5"/>
      <c r="W75" s="5"/>
      <c r="X75" s="5"/>
      <c r="Y75" s="18"/>
      <c r="Z75" s="18"/>
      <c r="AA75" s="5"/>
      <c r="AB75" s="5"/>
      <c r="AC75" s="5"/>
      <c r="AD75" s="5"/>
      <c r="AE75" s="5"/>
      <c r="AF75" s="5"/>
      <c r="AG75" s="5"/>
      <c r="AH75" s="5"/>
      <c r="AI75" s="5"/>
      <c r="AJ75" s="18"/>
      <c r="AK75" s="5"/>
      <c r="AL75" s="5"/>
    </row>
    <row r="76" ht="42" customHeight="1" spans="1:38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8"/>
      <c r="U76" s="5"/>
      <c r="V76" s="5"/>
      <c r="W76" s="5"/>
      <c r="X76" s="5"/>
      <c r="Y76" s="18"/>
      <c r="Z76" s="18"/>
      <c r="AA76" s="5"/>
      <c r="AB76" s="5"/>
      <c r="AC76" s="5"/>
      <c r="AD76" s="5"/>
      <c r="AE76" s="5"/>
      <c r="AF76" s="5"/>
      <c r="AG76" s="5"/>
      <c r="AH76" s="5"/>
      <c r="AI76" s="5"/>
      <c r="AJ76" s="18"/>
      <c r="AK76" s="5"/>
      <c r="AL76" s="5"/>
    </row>
    <row r="77" ht="42" customHeight="1" spans="1:38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8"/>
      <c r="U77" s="5"/>
      <c r="V77" s="5"/>
      <c r="W77" s="5"/>
      <c r="X77" s="5"/>
      <c r="Y77" s="18"/>
      <c r="Z77" s="18"/>
      <c r="AA77" s="5"/>
      <c r="AB77" s="5"/>
      <c r="AC77" s="5"/>
      <c r="AD77" s="5"/>
      <c r="AE77" s="5"/>
      <c r="AF77" s="5"/>
      <c r="AG77" s="5"/>
      <c r="AH77" s="5"/>
      <c r="AI77" s="5"/>
      <c r="AJ77" s="18"/>
      <c r="AK77" s="5"/>
      <c r="AL77" s="5"/>
    </row>
    <row r="78" ht="42" customHeight="1" spans="1:3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8"/>
      <c r="U78" s="5"/>
      <c r="V78" s="5"/>
      <c r="W78" s="5"/>
      <c r="X78" s="5"/>
      <c r="Y78" s="18"/>
      <c r="Z78" s="18"/>
      <c r="AA78" s="5"/>
      <c r="AB78" s="5"/>
      <c r="AC78" s="5"/>
      <c r="AD78" s="5"/>
      <c r="AE78" s="5"/>
      <c r="AF78" s="5"/>
      <c r="AG78" s="5"/>
      <c r="AH78" s="5"/>
      <c r="AI78" s="5"/>
      <c r="AJ78" s="18"/>
      <c r="AK78" s="5"/>
      <c r="AL78" s="5"/>
    </row>
    <row r="79" ht="42" customHeight="1" spans="1:38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8"/>
      <c r="U79" s="5"/>
      <c r="V79" s="5"/>
      <c r="W79" s="5"/>
      <c r="X79" s="5"/>
      <c r="Y79" s="18"/>
      <c r="Z79" s="18"/>
      <c r="AA79" s="5"/>
      <c r="AB79" s="5"/>
      <c r="AC79" s="5"/>
      <c r="AD79" s="5"/>
      <c r="AE79" s="5"/>
      <c r="AF79" s="5"/>
      <c r="AG79" s="5"/>
      <c r="AH79" s="5"/>
      <c r="AI79" s="5"/>
      <c r="AJ79" s="18"/>
      <c r="AK79" s="5"/>
      <c r="AL79" s="5"/>
    </row>
    <row r="80" ht="42" customHeight="1" spans="1:38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8"/>
      <c r="U80" s="5"/>
      <c r="V80" s="5"/>
      <c r="W80" s="5"/>
      <c r="X80" s="5"/>
      <c r="Y80" s="18"/>
      <c r="Z80" s="18"/>
      <c r="AA80" s="5"/>
      <c r="AB80" s="5"/>
      <c r="AC80" s="5"/>
      <c r="AD80" s="5"/>
      <c r="AE80" s="5"/>
      <c r="AF80" s="5"/>
      <c r="AG80" s="5"/>
      <c r="AH80" s="5"/>
      <c r="AI80" s="5"/>
      <c r="AJ80" s="18"/>
      <c r="AK80" s="5"/>
      <c r="AL80" s="5"/>
    </row>
    <row r="81" ht="42" customHeight="1" spans="1:38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8"/>
      <c r="U81" s="5"/>
      <c r="V81" s="5"/>
      <c r="W81" s="5"/>
      <c r="X81" s="5"/>
      <c r="Y81" s="18"/>
      <c r="Z81" s="18"/>
      <c r="AA81" s="5"/>
      <c r="AB81" s="5"/>
      <c r="AC81" s="5"/>
      <c r="AD81" s="5"/>
      <c r="AE81" s="5"/>
      <c r="AF81" s="5"/>
      <c r="AG81" s="5"/>
      <c r="AH81" s="5"/>
      <c r="AI81" s="5"/>
      <c r="AJ81" s="18"/>
      <c r="AK81" s="5"/>
      <c r="AL81" s="5"/>
    </row>
    <row r="82" ht="42" customHeight="1" spans="1:38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8"/>
      <c r="U82" s="5"/>
      <c r="V82" s="5"/>
      <c r="W82" s="5"/>
      <c r="X82" s="5"/>
      <c r="Y82" s="18"/>
      <c r="Z82" s="18"/>
      <c r="AA82" s="5"/>
      <c r="AB82" s="5"/>
      <c r="AC82" s="5"/>
      <c r="AD82" s="5"/>
      <c r="AE82" s="5"/>
      <c r="AF82" s="5"/>
      <c r="AG82" s="5"/>
      <c r="AH82" s="5"/>
      <c r="AI82" s="5"/>
      <c r="AJ82" s="18"/>
      <c r="AK82" s="5"/>
      <c r="AL82" s="5"/>
    </row>
    <row r="83" ht="42" customHeight="1" spans="1:38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8"/>
      <c r="U83" s="5"/>
      <c r="V83" s="5"/>
      <c r="W83" s="5"/>
      <c r="X83" s="5"/>
      <c r="Y83" s="18"/>
      <c r="Z83" s="18"/>
      <c r="AA83" s="5"/>
      <c r="AB83" s="5"/>
      <c r="AC83" s="5"/>
      <c r="AD83" s="5"/>
      <c r="AE83" s="5"/>
      <c r="AF83" s="5"/>
      <c r="AG83" s="5"/>
      <c r="AH83" s="5"/>
      <c r="AI83" s="5"/>
      <c r="AJ83" s="18"/>
      <c r="AK83" s="5"/>
      <c r="AL83" s="5"/>
    </row>
    <row r="84" ht="42" customHeight="1" spans="1:38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8"/>
      <c r="U84" s="5"/>
      <c r="V84" s="5"/>
      <c r="W84" s="5"/>
      <c r="X84" s="5"/>
      <c r="Y84" s="18"/>
      <c r="Z84" s="18"/>
      <c r="AA84" s="5"/>
      <c r="AB84" s="5"/>
      <c r="AC84" s="5"/>
      <c r="AD84" s="5"/>
      <c r="AE84" s="5"/>
      <c r="AF84" s="5"/>
      <c r="AG84" s="5"/>
      <c r="AH84" s="5"/>
      <c r="AI84" s="5"/>
      <c r="AJ84" s="18"/>
      <c r="AK84" s="5"/>
      <c r="AL84" s="5"/>
    </row>
    <row r="85" ht="42" customHeight="1" spans="1:38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8"/>
      <c r="U85" s="5"/>
      <c r="V85" s="5"/>
      <c r="W85" s="5"/>
      <c r="X85" s="5"/>
      <c r="Y85" s="18"/>
      <c r="Z85" s="18"/>
      <c r="AA85" s="5"/>
      <c r="AB85" s="5"/>
      <c r="AC85" s="5"/>
      <c r="AD85" s="5"/>
      <c r="AE85" s="5"/>
      <c r="AF85" s="5"/>
      <c r="AG85" s="5"/>
      <c r="AH85" s="5"/>
      <c r="AI85" s="5"/>
      <c r="AJ85" s="18"/>
      <c r="AK85" s="5"/>
      <c r="AL85" s="5"/>
    </row>
    <row r="86" ht="42" customHeight="1" spans="1:38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8"/>
      <c r="U86" s="5"/>
      <c r="V86" s="5"/>
      <c r="W86" s="5"/>
      <c r="X86" s="5"/>
      <c r="Y86" s="18"/>
      <c r="Z86" s="18"/>
      <c r="AA86" s="5"/>
      <c r="AB86" s="5"/>
      <c r="AC86" s="5"/>
      <c r="AD86" s="5"/>
      <c r="AE86" s="5"/>
      <c r="AF86" s="5"/>
      <c r="AG86" s="5"/>
      <c r="AH86" s="5"/>
      <c r="AI86" s="5"/>
      <c r="AJ86" s="18"/>
      <c r="AK86" s="5"/>
      <c r="AL86" s="5"/>
    </row>
    <row r="87" ht="42" customHeight="1" spans="1:38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8"/>
      <c r="U87" s="5"/>
      <c r="V87" s="5"/>
      <c r="W87" s="5"/>
      <c r="X87" s="5"/>
      <c r="Y87" s="18"/>
      <c r="Z87" s="18"/>
      <c r="AA87" s="5"/>
      <c r="AB87" s="5"/>
      <c r="AC87" s="5"/>
      <c r="AD87" s="5"/>
      <c r="AE87" s="5"/>
      <c r="AF87" s="5"/>
      <c r="AG87" s="5"/>
      <c r="AH87" s="5"/>
      <c r="AI87" s="5"/>
      <c r="AJ87" s="18"/>
      <c r="AK87" s="5"/>
      <c r="AL87" s="5"/>
    </row>
    <row r="88" ht="42" customHeight="1" spans="1:3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8"/>
      <c r="U88" s="5"/>
      <c r="V88" s="5"/>
      <c r="W88" s="5"/>
      <c r="X88" s="5"/>
      <c r="Y88" s="18"/>
      <c r="Z88" s="18"/>
      <c r="AA88" s="5"/>
      <c r="AB88" s="5"/>
      <c r="AC88" s="5"/>
      <c r="AD88" s="5"/>
      <c r="AE88" s="5"/>
      <c r="AF88" s="5"/>
      <c r="AG88" s="5"/>
      <c r="AH88" s="5"/>
      <c r="AI88" s="5"/>
      <c r="AJ88" s="18"/>
      <c r="AK88" s="5"/>
      <c r="AL88" s="5"/>
    </row>
    <row r="89" ht="42" customHeight="1" spans="1:38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8"/>
      <c r="U89" s="5"/>
      <c r="V89" s="5"/>
      <c r="W89" s="5"/>
      <c r="X89" s="5"/>
      <c r="Y89" s="18"/>
      <c r="Z89" s="18"/>
      <c r="AA89" s="5"/>
      <c r="AB89" s="5"/>
      <c r="AC89" s="5"/>
      <c r="AD89" s="5"/>
      <c r="AE89" s="5"/>
      <c r="AF89" s="5"/>
      <c r="AG89" s="5"/>
      <c r="AH89" s="5"/>
      <c r="AI89" s="5"/>
      <c r="AJ89" s="18"/>
      <c r="AK89" s="5"/>
      <c r="AL89" s="5"/>
    </row>
    <row r="90" ht="42" customHeight="1" spans="1:38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8"/>
      <c r="U90" s="5"/>
      <c r="V90" s="5"/>
      <c r="W90" s="5"/>
      <c r="X90" s="5"/>
      <c r="Y90" s="18"/>
      <c r="Z90" s="18"/>
      <c r="AA90" s="5"/>
      <c r="AB90" s="5"/>
      <c r="AC90" s="5"/>
      <c r="AD90" s="5"/>
      <c r="AE90" s="5"/>
      <c r="AF90" s="5"/>
      <c r="AG90" s="5"/>
      <c r="AH90" s="5"/>
      <c r="AI90" s="5"/>
      <c r="AJ90" s="18"/>
      <c r="AK90" s="5"/>
      <c r="AL90" s="5"/>
    </row>
    <row r="91" ht="42" customHeight="1" spans="1:38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8"/>
      <c r="U91" s="5"/>
      <c r="V91" s="5"/>
      <c r="W91" s="5"/>
      <c r="X91" s="5"/>
      <c r="Y91" s="18"/>
      <c r="Z91" s="18"/>
      <c r="AA91" s="5"/>
      <c r="AB91" s="5"/>
      <c r="AC91" s="5"/>
      <c r="AD91" s="5"/>
      <c r="AE91" s="5"/>
      <c r="AF91" s="5"/>
      <c r="AG91" s="5"/>
      <c r="AH91" s="5"/>
      <c r="AI91" s="5"/>
      <c r="AJ91" s="18"/>
      <c r="AK91" s="5"/>
      <c r="AL91" s="5"/>
    </row>
    <row r="92" ht="42" customHeight="1" spans="1:38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8"/>
      <c r="U92" s="5"/>
      <c r="V92" s="5"/>
      <c r="W92" s="5"/>
      <c r="X92" s="5"/>
      <c r="Y92" s="18"/>
      <c r="Z92" s="18"/>
      <c r="AA92" s="5"/>
      <c r="AB92" s="5"/>
      <c r="AC92" s="5"/>
      <c r="AD92" s="5"/>
      <c r="AE92" s="5"/>
      <c r="AF92" s="5"/>
      <c r="AG92" s="5"/>
      <c r="AH92" s="5"/>
      <c r="AI92" s="5"/>
      <c r="AJ92" s="18"/>
      <c r="AK92" s="5"/>
      <c r="AL92" s="5"/>
    </row>
    <row r="93" ht="42" customHeight="1" spans="1:38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8"/>
      <c r="U93" s="5"/>
      <c r="V93" s="5"/>
      <c r="W93" s="5"/>
      <c r="X93" s="5"/>
      <c r="Y93" s="18"/>
      <c r="Z93" s="18"/>
      <c r="AA93" s="5"/>
      <c r="AB93" s="5"/>
      <c r="AC93" s="5"/>
      <c r="AD93" s="5"/>
      <c r="AE93" s="5"/>
      <c r="AF93" s="5"/>
      <c r="AG93" s="5"/>
      <c r="AH93" s="5"/>
      <c r="AI93" s="5"/>
      <c r="AJ93" s="18"/>
      <c r="AK93" s="5"/>
      <c r="AL93" s="5"/>
    </row>
    <row r="94" ht="42" customHeight="1" spans="1:38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8"/>
      <c r="U94" s="5"/>
      <c r="V94" s="5"/>
      <c r="W94" s="5"/>
      <c r="X94" s="5"/>
      <c r="Y94" s="18"/>
      <c r="Z94" s="18"/>
      <c r="AA94" s="5"/>
      <c r="AB94" s="5"/>
      <c r="AC94" s="5"/>
      <c r="AD94" s="5"/>
      <c r="AE94" s="5"/>
      <c r="AF94" s="5"/>
      <c r="AG94" s="5"/>
      <c r="AH94" s="5"/>
      <c r="AI94" s="5"/>
      <c r="AJ94" s="18"/>
      <c r="AK94" s="5"/>
      <c r="AL94" s="5"/>
    </row>
    <row r="95" ht="42" customHeight="1" spans="1:38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8"/>
      <c r="U95" s="5"/>
      <c r="V95" s="5"/>
      <c r="W95" s="5"/>
      <c r="X95" s="5"/>
      <c r="Y95" s="18"/>
      <c r="Z95" s="18"/>
      <c r="AA95" s="5"/>
      <c r="AB95" s="5"/>
      <c r="AC95" s="5"/>
      <c r="AD95" s="5"/>
      <c r="AE95" s="5"/>
      <c r="AF95" s="5"/>
      <c r="AG95" s="5"/>
      <c r="AH95" s="5"/>
      <c r="AI95" s="5"/>
      <c r="AJ95" s="18"/>
      <c r="AK95" s="5"/>
      <c r="AL95" s="5"/>
    </row>
    <row r="96" ht="42" customHeight="1" spans="1:38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8"/>
      <c r="U96" s="5"/>
      <c r="V96" s="5"/>
      <c r="W96" s="5"/>
      <c r="X96" s="5"/>
      <c r="Y96" s="18"/>
      <c r="Z96" s="18"/>
      <c r="AA96" s="5"/>
      <c r="AB96" s="5"/>
      <c r="AC96" s="5"/>
      <c r="AD96" s="5"/>
      <c r="AE96" s="5"/>
      <c r="AF96" s="5"/>
      <c r="AG96" s="5"/>
      <c r="AH96" s="5"/>
      <c r="AI96" s="5"/>
      <c r="AJ96" s="18"/>
      <c r="AK96" s="5"/>
      <c r="AL96" s="5"/>
    </row>
    <row r="97" ht="42" customHeight="1" spans="1:38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8"/>
      <c r="U97" s="5"/>
      <c r="V97" s="5"/>
      <c r="W97" s="5"/>
      <c r="X97" s="5"/>
      <c r="Y97" s="18"/>
      <c r="Z97" s="18"/>
      <c r="AA97" s="5"/>
      <c r="AB97" s="5"/>
      <c r="AC97" s="5"/>
      <c r="AD97" s="5"/>
      <c r="AE97" s="5"/>
      <c r="AF97" s="5"/>
      <c r="AG97" s="5"/>
      <c r="AH97" s="5"/>
      <c r="AI97" s="5"/>
      <c r="AJ97" s="18"/>
      <c r="AK97" s="5"/>
      <c r="AL97" s="5"/>
    </row>
    <row r="98" ht="42" customHeight="1" spans="1:3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8"/>
      <c r="U98" s="5"/>
      <c r="V98" s="5"/>
      <c r="W98" s="5"/>
      <c r="X98" s="5"/>
      <c r="Y98" s="18"/>
      <c r="Z98" s="18"/>
      <c r="AA98" s="5"/>
      <c r="AB98" s="5"/>
      <c r="AC98" s="5"/>
      <c r="AD98" s="5"/>
      <c r="AE98" s="5"/>
      <c r="AF98" s="5"/>
      <c r="AG98" s="5"/>
      <c r="AH98" s="5"/>
      <c r="AI98" s="5"/>
      <c r="AJ98" s="18"/>
      <c r="AK98" s="5"/>
      <c r="AL98" s="5"/>
    </row>
    <row r="99" ht="42" customHeight="1" spans="1:38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8"/>
      <c r="U99" s="5"/>
      <c r="V99" s="5"/>
      <c r="W99" s="5"/>
      <c r="X99" s="5"/>
      <c r="Y99" s="18"/>
      <c r="Z99" s="18"/>
      <c r="AA99" s="5"/>
      <c r="AB99" s="5"/>
      <c r="AC99" s="5"/>
      <c r="AD99" s="5"/>
      <c r="AE99" s="5"/>
      <c r="AF99" s="5"/>
      <c r="AG99" s="5"/>
      <c r="AH99" s="5"/>
      <c r="AI99" s="5"/>
      <c r="AJ99" s="18"/>
      <c r="AK99" s="5"/>
      <c r="AL99" s="5"/>
    </row>
    <row r="100" ht="42" customHeight="1" spans="1:38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8"/>
      <c r="U100" s="5"/>
      <c r="V100" s="5"/>
      <c r="W100" s="5"/>
      <c r="X100" s="5"/>
      <c r="Y100" s="18"/>
      <c r="Z100" s="18"/>
      <c r="AA100" s="5"/>
      <c r="AB100" s="5"/>
      <c r="AC100" s="5"/>
      <c r="AD100" s="5"/>
      <c r="AE100" s="5"/>
      <c r="AF100" s="5"/>
      <c r="AG100" s="5"/>
      <c r="AH100" s="5"/>
      <c r="AI100" s="5"/>
      <c r="AJ100" s="18"/>
      <c r="AK100" s="5"/>
      <c r="AL100" s="5"/>
    </row>
    <row r="101" ht="42" customHeight="1" spans="1:38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8"/>
      <c r="U101" s="5"/>
      <c r="V101" s="5"/>
      <c r="W101" s="5"/>
      <c r="X101" s="5"/>
      <c r="Y101" s="18"/>
      <c r="Z101" s="18"/>
      <c r="AA101" s="5"/>
      <c r="AB101" s="5"/>
      <c r="AC101" s="5"/>
      <c r="AD101" s="5"/>
      <c r="AE101" s="5"/>
      <c r="AF101" s="5"/>
      <c r="AG101" s="5"/>
      <c r="AH101" s="5"/>
      <c r="AI101" s="5"/>
      <c r="AJ101" s="18"/>
      <c r="AK101" s="5"/>
      <c r="AL101" s="5"/>
    </row>
    <row r="102" ht="42" customHeight="1" spans="1:38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8"/>
      <c r="U102" s="5"/>
      <c r="V102" s="5"/>
      <c r="W102" s="5"/>
      <c r="X102" s="5"/>
      <c r="Y102" s="18"/>
      <c r="Z102" s="18"/>
      <c r="AA102" s="5"/>
      <c r="AB102" s="5"/>
      <c r="AC102" s="5"/>
      <c r="AD102" s="5"/>
      <c r="AE102" s="5"/>
      <c r="AF102" s="5"/>
      <c r="AG102" s="5"/>
      <c r="AH102" s="5"/>
      <c r="AI102" s="5"/>
      <c r="AJ102" s="18"/>
      <c r="AK102" s="5"/>
      <c r="AL102" s="5"/>
    </row>
    <row r="103" ht="42" customHeight="1" spans="1:38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8"/>
      <c r="U103" s="5"/>
      <c r="V103" s="5"/>
      <c r="W103" s="5"/>
      <c r="X103" s="5"/>
      <c r="Y103" s="18"/>
      <c r="Z103" s="18"/>
      <c r="AA103" s="5"/>
      <c r="AB103" s="5"/>
      <c r="AC103" s="5"/>
      <c r="AD103" s="5"/>
      <c r="AE103" s="5"/>
      <c r="AF103" s="5"/>
      <c r="AG103" s="5"/>
      <c r="AH103" s="5"/>
      <c r="AI103" s="5"/>
      <c r="AJ103" s="18"/>
      <c r="AK103" s="5"/>
      <c r="AL103" s="5"/>
    </row>
    <row r="104" ht="42" customHeight="1" spans="1:38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8"/>
      <c r="U104" s="5"/>
      <c r="V104" s="5"/>
      <c r="W104" s="5"/>
      <c r="X104" s="5"/>
      <c r="Y104" s="18"/>
      <c r="Z104" s="18"/>
      <c r="AA104" s="5"/>
      <c r="AB104" s="5"/>
      <c r="AC104" s="5"/>
      <c r="AD104" s="5"/>
      <c r="AE104" s="5"/>
      <c r="AF104" s="5"/>
      <c r="AG104" s="5"/>
      <c r="AH104" s="5"/>
      <c r="AI104" s="5"/>
      <c r="AJ104" s="18"/>
      <c r="AK104" s="5"/>
      <c r="AL104" s="5"/>
    </row>
    <row r="105" ht="42" customHeight="1" spans="1:38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8"/>
      <c r="U105" s="5"/>
      <c r="V105" s="5"/>
      <c r="W105" s="5"/>
      <c r="X105" s="5"/>
      <c r="Y105" s="18"/>
      <c r="Z105" s="18"/>
      <c r="AA105" s="5"/>
      <c r="AB105" s="5"/>
      <c r="AC105" s="5"/>
      <c r="AD105" s="5"/>
      <c r="AE105" s="5"/>
      <c r="AF105" s="5"/>
      <c r="AG105" s="5"/>
      <c r="AH105" s="5"/>
      <c r="AI105" s="5"/>
      <c r="AJ105" s="18"/>
      <c r="AK105" s="5"/>
      <c r="AL105" s="5"/>
    </row>
    <row r="106" ht="42" customHeight="1" spans="1:38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8"/>
      <c r="U106" s="5"/>
      <c r="V106" s="5"/>
      <c r="W106" s="5"/>
      <c r="X106" s="5"/>
      <c r="Y106" s="18"/>
      <c r="Z106" s="18"/>
      <c r="AA106" s="5"/>
      <c r="AB106" s="5"/>
      <c r="AC106" s="5"/>
      <c r="AD106" s="5"/>
      <c r="AE106" s="5"/>
      <c r="AF106" s="5"/>
      <c r="AG106" s="5"/>
      <c r="AH106" s="5"/>
      <c r="AI106" s="5"/>
      <c r="AJ106" s="18"/>
      <c r="AK106" s="5"/>
      <c r="AL106" s="5"/>
    </row>
    <row r="107" ht="42" customHeight="1" spans="1:38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8"/>
      <c r="U107" s="5"/>
      <c r="V107" s="5"/>
      <c r="W107" s="5"/>
      <c r="X107" s="5"/>
      <c r="Y107" s="18"/>
      <c r="Z107" s="18"/>
      <c r="AA107" s="5"/>
      <c r="AB107" s="5"/>
      <c r="AC107" s="5"/>
      <c r="AD107" s="5"/>
      <c r="AE107" s="5"/>
      <c r="AF107" s="5"/>
      <c r="AG107" s="5"/>
      <c r="AH107" s="5"/>
      <c r="AI107" s="5"/>
      <c r="AJ107" s="18"/>
      <c r="AK107" s="5"/>
      <c r="AL107" s="5"/>
    </row>
    <row r="108" ht="42" customHeight="1" spans="1:3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8"/>
      <c r="U108" s="5"/>
      <c r="V108" s="5"/>
      <c r="W108" s="5"/>
      <c r="X108" s="5"/>
      <c r="Y108" s="18"/>
      <c r="Z108" s="18"/>
      <c r="AA108" s="5"/>
      <c r="AB108" s="5"/>
      <c r="AC108" s="5"/>
      <c r="AD108" s="5"/>
      <c r="AE108" s="5"/>
      <c r="AF108" s="5"/>
      <c r="AG108" s="5"/>
      <c r="AH108" s="5"/>
      <c r="AI108" s="5"/>
      <c r="AJ108" s="18"/>
      <c r="AK108" s="5"/>
      <c r="AL108" s="5"/>
    </row>
    <row r="109" ht="42" customHeight="1" spans="1:38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8"/>
      <c r="U109" s="5"/>
      <c r="V109" s="5"/>
      <c r="W109" s="5"/>
      <c r="X109" s="5"/>
      <c r="Y109" s="18"/>
      <c r="Z109" s="18"/>
      <c r="AA109" s="5"/>
      <c r="AB109" s="5"/>
      <c r="AC109" s="5"/>
      <c r="AD109" s="5"/>
      <c r="AE109" s="5"/>
      <c r="AF109" s="5"/>
      <c r="AG109" s="5"/>
      <c r="AH109" s="5"/>
      <c r="AI109" s="5"/>
      <c r="AJ109" s="18"/>
      <c r="AK109" s="5"/>
      <c r="AL109" s="5"/>
    </row>
    <row r="110" ht="42" customHeight="1" spans="1:38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8"/>
      <c r="U110" s="5"/>
      <c r="V110" s="5"/>
      <c r="W110" s="5"/>
      <c r="X110" s="5"/>
      <c r="Y110" s="18"/>
      <c r="Z110" s="18"/>
      <c r="AA110" s="5"/>
      <c r="AB110" s="5"/>
      <c r="AC110" s="5"/>
      <c r="AD110" s="5"/>
      <c r="AE110" s="5"/>
      <c r="AF110" s="5"/>
      <c r="AG110" s="5"/>
      <c r="AH110" s="5"/>
      <c r="AI110" s="5"/>
      <c r="AJ110" s="18"/>
      <c r="AK110" s="5"/>
      <c r="AL110" s="5"/>
    </row>
    <row r="111" ht="42" customHeight="1" spans="1:38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8"/>
      <c r="U111" s="5"/>
      <c r="V111" s="5"/>
      <c r="W111" s="5"/>
      <c r="X111" s="5"/>
      <c r="Y111" s="18"/>
      <c r="Z111" s="18"/>
      <c r="AA111" s="5"/>
      <c r="AB111" s="5"/>
      <c r="AC111" s="5"/>
      <c r="AD111" s="5"/>
      <c r="AE111" s="5"/>
      <c r="AF111" s="5"/>
      <c r="AG111" s="5"/>
      <c r="AH111" s="5"/>
      <c r="AI111" s="5"/>
      <c r="AJ111" s="18"/>
      <c r="AK111" s="5"/>
      <c r="AL111" s="5"/>
    </row>
    <row r="112" ht="42" customHeight="1" spans="1:38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8"/>
      <c r="U112" s="5"/>
      <c r="V112" s="5"/>
      <c r="W112" s="5"/>
      <c r="X112" s="5"/>
      <c r="Y112" s="18"/>
      <c r="Z112" s="18"/>
      <c r="AA112" s="5"/>
      <c r="AB112" s="5"/>
      <c r="AC112" s="5"/>
      <c r="AD112" s="5"/>
      <c r="AE112" s="5"/>
      <c r="AF112" s="5"/>
      <c r="AG112" s="5"/>
      <c r="AH112" s="5"/>
      <c r="AI112" s="5"/>
      <c r="AJ112" s="18"/>
      <c r="AK112" s="5"/>
      <c r="AL112" s="5"/>
    </row>
    <row r="113" ht="42" customHeight="1" spans="1:38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8"/>
      <c r="U113" s="5"/>
      <c r="V113" s="5"/>
      <c r="W113" s="5"/>
      <c r="X113" s="5"/>
      <c r="Y113" s="18"/>
      <c r="Z113" s="18"/>
      <c r="AA113" s="5"/>
      <c r="AB113" s="5"/>
      <c r="AC113" s="5"/>
      <c r="AD113" s="5"/>
      <c r="AE113" s="5"/>
      <c r="AF113" s="5"/>
      <c r="AG113" s="5"/>
      <c r="AH113" s="5"/>
      <c r="AI113" s="5"/>
      <c r="AJ113" s="18"/>
      <c r="AK113" s="5"/>
      <c r="AL113" s="5"/>
    </row>
    <row r="114" ht="42" customHeight="1" spans="1:38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8"/>
      <c r="U114" s="5"/>
      <c r="V114" s="5"/>
      <c r="W114" s="5"/>
      <c r="X114" s="5"/>
      <c r="Y114" s="18"/>
      <c r="Z114" s="18"/>
      <c r="AA114" s="5"/>
      <c r="AB114" s="5"/>
      <c r="AC114" s="5"/>
      <c r="AD114" s="5"/>
      <c r="AE114" s="5"/>
      <c r="AF114" s="5"/>
      <c r="AG114" s="5"/>
      <c r="AH114" s="5"/>
      <c r="AI114" s="5"/>
      <c r="AJ114" s="18"/>
      <c r="AK114" s="5"/>
      <c r="AL114" s="5"/>
    </row>
    <row r="115" ht="42" customHeight="1" spans="1:38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8"/>
      <c r="U115" s="5"/>
      <c r="V115" s="5"/>
      <c r="W115" s="5"/>
      <c r="X115" s="5"/>
      <c r="Y115" s="18"/>
      <c r="Z115" s="18"/>
      <c r="AA115" s="5"/>
      <c r="AB115" s="5"/>
      <c r="AC115" s="5"/>
      <c r="AD115" s="5"/>
      <c r="AE115" s="5"/>
      <c r="AF115" s="5"/>
      <c r="AG115" s="5"/>
      <c r="AH115" s="5"/>
      <c r="AI115" s="5"/>
      <c r="AJ115" s="18"/>
      <c r="AK115" s="5"/>
      <c r="AL115" s="5"/>
    </row>
    <row r="116" ht="42" customHeight="1" spans="1:38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8"/>
      <c r="U116" s="5"/>
      <c r="V116" s="5"/>
      <c r="W116" s="5"/>
      <c r="X116" s="5"/>
      <c r="Y116" s="18"/>
      <c r="Z116" s="18"/>
      <c r="AA116" s="5"/>
      <c r="AB116" s="5"/>
      <c r="AC116" s="5"/>
      <c r="AD116" s="5"/>
      <c r="AE116" s="5"/>
      <c r="AF116" s="5"/>
      <c r="AG116" s="5"/>
      <c r="AH116" s="5"/>
      <c r="AI116" s="5"/>
      <c r="AJ116" s="18"/>
      <c r="AK116" s="5"/>
      <c r="AL116" s="5"/>
    </row>
    <row r="117" ht="42" customHeight="1" spans="1:38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8"/>
      <c r="U117" s="5"/>
      <c r="V117" s="5"/>
      <c r="W117" s="5"/>
      <c r="X117" s="5"/>
      <c r="Y117" s="18"/>
      <c r="Z117" s="18"/>
      <c r="AA117" s="5"/>
      <c r="AB117" s="5"/>
      <c r="AC117" s="5"/>
      <c r="AD117" s="5"/>
      <c r="AE117" s="5"/>
      <c r="AF117" s="5"/>
      <c r="AG117" s="5"/>
      <c r="AH117" s="5"/>
      <c r="AI117" s="5"/>
      <c r="AJ117" s="18"/>
      <c r="AK117" s="5"/>
      <c r="AL117" s="5"/>
    </row>
    <row r="118" ht="42" customHeight="1" spans="1:3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8"/>
      <c r="U118" s="5"/>
      <c r="V118" s="5"/>
      <c r="W118" s="5"/>
      <c r="X118" s="5"/>
      <c r="Y118" s="18"/>
      <c r="Z118" s="18"/>
      <c r="AA118" s="5"/>
      <c r="AB118" s="5"/>
      <c r="AC118" s="5"/>
      <c r="AD118" s="5"/>
      <c r="AE118" s="5"/>
      <c r="AF118" s="5"/>
      <c r="AG118" s="5"/>
      <c r="AH118" s="5"/>
      <c r="AI118" s="5"/>
      <c r="AJ118" s="18"/>
      <c r="AK118" s="5"/>
      <c r="AL118" s="5"/>
    </row>
    <row r="119" ht="42" customHeight="1" spans="1:38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8"/>
      <c r="U119" s="5"/>
      <c r="V119" s="5"/>
      <c r="W119" s="5"/>
      <c r="X119" s="5"/>
      <c r="Y119" s="18"/>
      <c r="Z119" s="18"/>
      <c r="AA119" s="5"/>
      <c r="AB119" s="5"/>
      <c r="AC119" s="5"/>
      <c r="AD119" s="5"/>
      <c r="AE119" s="5"/>
      <c r="AF119" s="5"/>
      <c r="AG119" s="5"/>
      <c r="AH119" s="5"/>
      <c r="AI119" s="5"/>
      <c r="AJ119" s="18"/>
      <c r="AK119" s="5"/>
      <c r="AL119" s="5"/>
    </row>
    <row r="120" ht="42" customHeight="1" spans="1:38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8"/>
      <c r="U120" s="5"/>
      <c r="V120" s="5"/>
      <c r="W120" s="5"/>
      <c r="X120" s="5"/>
      <c r="Y120" s="18"/>
      <c r="Z120" s="18"/>
      <c r="AA120" s="5"/>
      <c r="AB120" s="5"/>
      <c r="AC120" s="5"/>
      <c r="AD120" s="5"/>
      <c r="AE120" s="5"/>
      <c r="AF120" s="5"/>
      <c r="AG120" s="5"/>
      <c r="AH120" s="5"/>
      <c r="AI120" s="5"/>
      <c r="AJ120" s="18"/>
      <c r="AK120" s="5"/>
      <c r="AL120" s="5"/>
    </row>
    <row r="121" ht="42" customHeight="1" spans="1:38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8"/>
      <c r="U121" s="5"/>
      <c r="V121" s="5"/>
      <c r="W121" s="5"/>
      <c r="X121" s="5"/>
      <c r="Y121" s="18"/>
      <c r="Z121" s="18"/>
      <c r="AA121" s="5"/>
      <c r="AB121" s="5"/>
      <c r="AC121" s="5"/>
      <c r="AD121" s="5"/>
      <c r="AE121" s="5"/>
      <c r="AF121" s="5"/>
      <c r="AG121" s="5"/>
      <c r="AH121" s="5"/>
      <c r="AI121" s="5"/>
      <c r="AJ121" s="18"/>
      <c r="AK121" s="5"/>
      <c r="AL121" s="5"/>
    </row>
    <row r="122" ht="42" customHeight="1" spans="1:38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8"/>
      <c r="U122" s="5"/>
      <c r="V122" s="5"/>
      <c r="W122" s="5"/>
      <c r="X122" s="5"/>
      <c r="Y122" s="18"/>
      <c r="Z122" s="18"/>
      <c r="AA122" s="5"/>
      <c r="AB122" s="5"/>
      <c r="AC122" s="5"/>
      <c r="AD122" s="5"/>
      <c r="AE122" s="5"/>
      <c r="AF122" s="5"/>
      <c r="AG122" s="5"/>
      <c r="AH122" s="5"/>
      <c r="AI122" s="5"/>
      <c r="AJ122" s="18"/>
      <c r="AK122" s="5"/>
      <c r="AL122" s="5"/>
    </row>
    <row r="123" ht="42" customHeight="1" spans="1:38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8"/>
      <c r="U123" s="5"/>
      <c r="V123" s="5"/>
      <c r="W123" s="5"/>
      <c r="X123" s="5"/>
      <c r="Y123" s="18"/>
      <c r="Z123" s="18"/>
      <c r="AA123" s="5"/>
      <c r="AB123" s="5"/>
      <c r="AC123" s="5"/>
      <c r="AD123" s="5"/>
      <c r="AE123" s="5"/>
      <c r="AF123" s="5"/>
      <c r="AG123" s="5"/>
      <c r="AH123" s="5"/>
      <c r="AI123" s="5"/>
      <c r="AJ123" s="18"/>
      <c r="AK123" s="5"/>
      <c r="AL123" s="5"/>
    </row>
    <row r="124" ht="42" customHeight="1" spans="1:38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8"/>
      <c r="U124" s="5"/>
      <c r="V124" s="5"/>
      <c r="W124" s="5"/>
      <c r="X124" s="5"/>
      <c r="Y124" s="18"/>
      <c r="Z124" s="18"/>
      <c r="AA124" s="5"/>
      <c r="AB124" s="5"/>
      <c r="AC124" s="5"/>
      <c r="AD124" s="5"/>
      <c r="AE124" s="5"/>
      <c r="AF124" s="5"/>
      <c r="AG124" s="5"/>
      <c r="AH124" s="5"/>
      <c r="AI124" s="5"/>
      <c r="AJ124" s="18"/>
      <c r="AK124" s="5"/>
      <c r="AL124" s="5"/>
    </row>
    <row r="125" ht="42" customHeight="1" spans="1:38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8"/>
      <c r="U125" s="5"/>
      <c r="V125" s="5"/>
      <c r="W125" s="5"/>
      <c r="X125" s="5"/>
      <c r="Y125" s="18"/>
      <c r="Z125" s="18"/>
      <c r="AA125" s="5"/>
      <c r="AB125" s="5"/>
      <c r="AC125" s="5"/>
      <c r="AD125" s="5"/>
      <c r="AE125" s="5"/>
      <c r="AF125" s="5"/>
      <c r="AG125" s="5"/>
      <c r="AH125" s="5"/>
      <c r="AI125" s="5"/>
      <c r="AJ125" s="18"/>
      <c r="AK125" s="5"/>
      <c r="AL125" s="5"/>
    </row>
    <row r="126" ht="42" customHeight="1" spans="1:38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8"/>
      <c r="U126" s="5"/>
      <c r="V126" s="5"/>
      <c r="W126" s="5"/>
      <c r="X126" s="5"/>
      <c r="Y126" s="18"/>
      <c r="Z126" s="18"/>
      <c r="AA126" s="5"/>
      <c r="AB126" s="5"/>
      <c r="AC126" s="5"/>
      <c r="AD126" s="5"/>
      <c r="AE126" s="5"/>
      <c r="AF126" s="5"/>
      <c r="AG126" s="5"/>
      <c r="AH126" s="5"/>
      <c r="AI126" s="5"/>
      <c r="AJ126" s="18"/>
      <c r="AK126" s="5"/>
      <c r="AL126" s="5"/>
    </row>
    <row r="127" ht="42" customHeight="1" spans="1:38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8"/>
      <c r="U127" s="5"/>
      <c r="V127" s="5"/>
      <c r="W127" s="5"/>
      <c r="X127" s="5"/>
      <c r="Y127" s="18"/>
      <c r="Z127" s="18"/>
      <c r="AA127" s="5"/>
      <c r="AB127" s="5"/>
      <c r="AC127" s="5"/>
      <c r="AD127" s="5"/>
      <c r="AE127" s="5"/>
      <c r="AF127" s="5"/>
      <c r="AG127" s="5"/>
      <c r="AH127" s="5"/>
      <c r="AI127" s="5"/>
      <c r="AJ127" s="18"/>
      <c r="AK127" s="5"/>
      <c r="AL127" s="5"/>
    </row>
    <row r="128" ht="42" customHeight="1" spans="1:3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8"/>
      <c r="U128" s="5"/>
      <c r="V128" s="5"/>
      <c r="W128" s="5"/>
      <c r="X128" s="5"/>
      <c r="Y128" s="18"/>
      <c r="Z128" s="18"/>
      <c r="AA128" s="5"/>
      <c r="AB128" s="5"/>
      <c r="AC128" s="5"/>
      <c r="AD128" s="5"/>
      <c r="AE128" s="5"/>
      <c r="AF128" s="5"/>
      <c r="AG128" s="5"/>
      <c r="AH128" s="5"/>
      <c r="AI128" s="5"/>
      <c r="AJ128" s="18"/>
      <c r="AK128" s="5"/>
      <c r="AL128" s="5"/>
    </row>
    <row r="129" ht="42" customHeight="1" spans="1:38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8"/>
      <c r="U129" s="5"/>
      <c r="V129" s="5"/>
      <c r="W129" s="5"/>
      <c r="X129" s="5"/>
      <c r="Y129" s="18"/>
      <c r="Z129" s="18"/>
      <c r="AA129" s="5"/>
      <c r="AB129" s="5"/>
      <c r="AC129" s="5"/>
      <c r="AD129" s="5"/>
      <c r="AE129" s="5"/>
      <c r="AF129" s="5"/>
      <c r="AG129" s="5"/>
      <c r="AH129" s="5"/>
      <c r="AI129" s="5"/>
      <c r="AJ129" s="18"/>
      <c r="AK129" s="5"/>
      <c r="AL129" s="5"/>
    </row>
    <row r="130" ht="42" customHeight="1" spans="1:38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8"/>
      <c r="U130" s="5"/>
      <c r="V130" s="5"/>
      <c r="W130" s="5"/>
      <c r="X130" s="5"/>
      <c r="Y130" s="18"/>
      <c r="Z130" s="18"/>
      <c r="AA130" s="5"/>
      <c r="AB130" s="5"/>
      <c r="AC130" s="5"/>
      <c r="AD130" s="5"/>
      <c r="AE130" s="5"/>
      <c r="AF130" s="5"/>
      <c r="AG130" s="5"/>
      <c r="AH130" s="5"/>
      <c r="AI130" s="5"/>
      <c r="AJ130" s="18"/>
      <c r="AK130" s="5"/>
      <c r="AL130" s="5"/>
    </row>
    <row r="131" ht="42" customHeight="1" spans="1:38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8"/>
      <c r="U131" s="5"/>
      <c r="V131" s="5"/>
      <c r="W131" s="5"/>
      <c r="X131" s="5"/>
      <c r="Y131" s="18"/>
      <c r="Z131" s="18"/>
      <c r="AA131" s="5"/>
      <c r="AB131" s="5"/>
      <c r="AC131" s="5"/>
      <c r="AD131" s="5"/>
      <c r="AE131" s="5"/>
      <c r="AF131" s="5"/>
      <c r="AG131" s="5"/>
      <c r="AH131" s="5"/>
      <c r="AI131" s="5"/>
      <c r="AJ131" s="18"/>
      <c r="AK131" s="5"/>
      <c r="AL131" s="5"/>
    </row>
    <row r="132" ht="42" customHeight="1" spans="1:38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8"/>
      <c r="U132" s="5"/>
      <c r="V132" s="5"/>
      <c r="W132" s="5"/>
      <c r="X132" s="5"/>
      <c r="Y132" s="18"/>
      <c r="Z132" s="18"/>
      <c r="AA132" s="5"/>
      <c r="AB132" s="5"/>
      <c r="AC132" s="5"/>
      <c r="AD132" s="5"/>
      <c r="AE132" s="5"/>
      <c r="AF132" s="5"/>
      <c r="AG132" s="5"/>
      <c r="AH132" s="5"/>
      <c r="AI132" s="5"/>
      <c r="AJ132" s="18"/>
      <c r="AK132" s="5"/>
      <c r="AL132" s="5"/>
    </row>
    <row r="133" ht="42" customHeight="1" spans="1:38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8"/>
      <c r="U133" s="5"/>
      <c r="V133" s="5"/>
      <c r="W133" s="5"/>
      <c r="X133" s="5"/>
      <c r="Y133" s="18"/>
      <c r="Z133" s="18"/>
      <c r="AA133" s="5"/>
      <c r="AB133" s="5"/>
      <c r="AC133" s="5"/>
      <c r="AD133" s="5"/>
      <c r="AE133" s="5"/>
      <c r="AF133" s="5"/>
      <c r="AG133" s="5"/>
      <c r="AH133" s="5"/>
      <c r="AI133" s="5"/>
      <c r="AJ133" s="18"/>
      <c r="AK133" s="5"/>
      <c r="AL133" s="5"/>
    </row>
    <row r="134" ht="42" customHeight="1" spans="1:38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8"/>
      <c r="U134" s="5"/>
      <c r="V134" s="5"/>
      <c r="W134" s="5"/>
      <c r="X134" s="5"/>
      <c r="Y134" s="18"/>
      <c r="Z134" s="18"/>
      <c r="AA134" s="5"/>
      <c r="AB134" s="5"/>
      <c r="AC134" s="5"/>
      <c r="AD134" s="5"/>
      <c r="AE134" s="5"/>
      <c r="AF134" s="5"/>
      <c r="AG134" s="5"/>
      <c r="AH134" s="5"/>
      <c r="AI134" s="5"/>
      <c r="AJ134" s="18"/>
      <c r="AK134" s="5"/>
      <c r="AL134" s="5"/>
    </row>
    <row r="135" ht="42" customHeight="1" spans="1:38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8"/>
      <c r="U135" s="5"/>
      <c r="V135" s="5"/>
      <c r="W135" s="5"/>
      <c r="X135" s="5"/>
      <c r="Y135" s="18"/>
      <c r="Z135" s="18"/>
      <c r="AA135" s="5"/>
      <c r="AB135" s="5"/>
      <c r="AC135" s="5"/>
      <c r="AD135" s="5"/>
      <c r="AE135" s="5"/>
      <c r="AF135" s="5"/>
      <c r="AG135" s="5"/>
      <c r="AH135" s="5"/>
      <c r="AI135" s="5"/>
      <c r="AJ135" s="18"/>
      <c r="AK135" s="5"/>
      <c r="AL135" s="5"/>
    </row>
    <row r="136" ht="42" customHeight="1" spans="1:38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8"/>
      <c r="U136" s="5"/>
      <c r="V136" s="5"/>
      <c r="W136" s="5"/>
      <c r="X136" s="5"/>
      <c r="Y136" s="18"/>
      <c r="Z136" s="18"/>
      <c r="AA136" s="5"/>
      <c r="AB136" s="5"/>
      <c r="AC136" s="5"/>
      <c r="AD136" s="5"/>
      <c r="AE136" s="5"/>
      <c r="AF136" s="5"/>
      <c r="AG136" s="5"/>
      <c r="AH136" s="5"/>
      <c r="AI136" s="5"/>
      <c r="AJ136" s="18"/>
      <c r="AK136" s="5"/>
      <c r="AL136" s="5"/>
    </row>
    <row r="137" ht="42" customHeight="1" spans="1:38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8"/>
      <c r="U137" s="5"/>
      <c r="V137" s="5"/>
      <c r="W137" s="5"/>
      <c r="X137" s="5"/>
      <c r="Y137" s="18"/>
      <c r="Z137" s="18"/>
      <c r="AA137" s="5"/>
      <c r="AB137" s="5"/>
      <c r="AC137" s="5"/>
      <c r="AD137" s="5"/>
      <c r="AE137" s="5"/>
      <c r="AF137" s="5"/>
      <c r="AG137" s="5"/>
      <c r="AH137" s="5"/>
      <c r="AI137" s="5"/>
      <c r="AJ137" s="18"/>
      <c r="AK137" s="5"/>
      <c r="AL137" s="5"/>
    </row>
    <row r="138" ht="42" customHeight="1" spans="1: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8"/>
      <c r="U138" s="5"/>
      <c r="V138" s="5"/>
      <c r="W138" s="5"/>
      <c r="X138" s="5"/>
      <c r="Y138" s="18"/>
      <c r="Z138" s="18"/>
      <c r="AA138" s="5"/>
      <c r="AB138" s="5"/>
      <c r="AC138" s="5"/>
      <c r="AD138" s="5"/>
      <c r="AE138" s="5"/>
      <c r="AF138" s="5"/>
      <c r="AG138" s="5"/>
      <c r="AH138" s="5"/>
      <c r="AI138" s="5"/>
      <c r="AJ138" s="18"/>
      <c r="AK138" s="5"/>
      <c r="AL138" s="5"/>
    </row>
    <row r="139" ht="42" customHeight="1" spans="1:38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8"/>
      <c r="U139" s="5"/>
      <c r="V139" s="5"/>
      <c r="W139" s="5"/>
      <c r="X139" s="5"/>
      <c r="Y139" s="18"/>
      <c r="Z139" s="18"/>
      <c r="AA139" s="5"/>
      <c r="AB139" s="5"/>
      <c r="AC139" s="5"/>
      <c r="AD139" s="5"/>
      <c r="AE139" s="5"/>
      <c r="AF139" s="5"/>
      <c r="AG139" s="5"/>
      <c r="AH139" s="5"/>
      <c r="AI139" s="5"/>
      <c r="AJ139" s="18"/>
      <c r="AK139" s="5"/>
      <c r="AL139" s="5"/>
    </row>
    <row r="140" ht="42" customHeight="1" spans="1:38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8"/>
      <c r="U140" s="5"/>
      <c r="V140" s="5"/>
      <c r="W140" s="5"/>
      <c r="X140" s="5"/>
      <c r="Y140" s="18"/>
      <c r="Z140" s="18"/>
      <c r="AA140" s="5"/>
      <c r="AB140" s="5"/>
      <c r="AC140" s="5"/>
      <c r="AD140" s="5"/>
      <c r="AE140" s="5"/>
      <c r="AF140" s="5"/>
      <c r="AG140" s="5"/>
      <c r="AH140" s="5"/>
      <c r="AI140" s="5"/>
      <c r="AJ140" s="18"/>
      <c r="AK140" s="5"/>
      <c r="AL140" s="5"/>
    </row>
    <row r="141" ht="42" customHeight="1" spans="1:38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8"/>
      <c r="U141" s="5"/>
      <c r="V141" s="5"/>
      <c r="W141" s="5"/>
      <c r="X141" s="5"/>
      <c r="Y141" s="18"/>
      <c r="Z141" s="18"/>
      <c r="AA141" s="5"/>
      <c r="AB141" s="5"/>
      <c r="AC141" s="5"/>
      <c r="AD141" s="5"/>
      <c r="AE141" s="5"/>
      <c r="AF141" s="5"/>
      <c r="AG141" s="5"/>
      <c r="AH141" s="5"/>
      <c r="AI141" s="5"/>
      <c r="AJ141" s="18"/>
      <c r="AK141" s="5"/>
      <c r="AL141" s="5"/>
    </row>
    <row r="142" ht="42" customHeight="1" spans="1:38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8"/>
      <c r="U142" s="5"/>
      <c r="V142" s="5"/>
      <c r="W142" s="5"/>
      <c r="X142" s="5"/>
      <c r="Y142" s="18"/>
      <c r="Z142" s="18"/>
      <c r="AA142" s="5"/>
      <c r="AB142" s="5"/>
      <c r="AC142" s="5"/>
      <c r="AD142" s="5"/>
      <c r="AE142" s="5"/>
      <c r="AF142" s="5"/>
      <c r="AG142" s="5"/>
      <c r="AH142" s="5"/>
      <c r="AI142" s="5"/>
      <c r="AJ142" s="18"/>
      <c r="AK142" s="5"/>
      <c r="AL142" s="5"/>
    </row>
    <row r="143" ht="42" customHeight="1" spans="1:38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8"/>
      <c r="U143" s="5"/>
      <c r="V143" s="5"/>
      <c r="W143" s="5"/>
      <c r="X143" s="5"/>
      <c r="Y143" s="18"/>
      <c r="Z143" s="18"/>
      <c r="AA143" s="5"/>
      <c r="AB143" s="5"/>
      <c r="AC143" s="5"/>
      <c r="AD143" s="5"/>
      <c r="AE143" s="5"/>
      <c r="AF143" s="5"/>
      <c r="AG143" s="5"/>
      <c r="AH143" s="5"/>
      <c r="AI143" s="5"/>
      <c r="AJ143" s="18"/>
      <c r="AK143" s="5"/>
      <c r="AL143" s="5"/>
    </row>
    <row r="144" ht="42" customHeight="1" spans="1:38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8"/>
      <c r="U144" s="5"/>
      <c r="V144" s="5"/>
      <c r="W144" s="5"/>
      <c r="X144" s="5"/>
      <c r="Y144" s="18"/>
      <c r="Z144" s="18"/>
      <c r="AA144" s="5"/>
      <c r="AB144" s="5"/>
      <c r="AC144" s="5"/>
      <c r="AD144" s="5"/>
      <c r="AE144" s="5"/>
      <c r="AF144" s="5"/>
      <c r="AG144" s="5"/>
      <c r="AH144" s="5"/>
      <c r="AI144" s="5"/>
      <c r="AJ144" s="18"/>
      <c r="AK144" s="5"/>
      <c r="AL144" s="5"/>
    </row>
    <row r="145" ht="42" customHeight="1" spans="1:38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8"/>
      <c r="U145" s="5"/>
      <c r="V145" s="5"/>
      <c r="W145" s="5"/>
      <c r="X145" s="5"/>
      <c r="Y145" s="18"/>
      <c r="Z145" s="18"/>
      <c r="AA145" s="5"/>
      <c r="AB145" s="5"/>
      <c r="AC145" s="5"/>
      <c r="AD145" s="5"/>
      <c r="AE145" s="5"/>
      <c r="AF145" s="5"/>
      <c r="AG145" s="5"/>
      <c r="AH145" s="5"/>
      <c r="AI145" s="5"/>
      <c r="AJ145" s="18"/>
      <c r="AK145" s="5"/>
      <c r="AL145" s="5"/>
    </row>
    <row r="146" ht="42" customHeight="1" spans="1:38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8"/>
      <c r="U146" s="5"/>
      <c r="V146" s="5"/>
      <c r="W146" s="5"/>
      <c r="X146" s="5"/>
      <c r="Y146" s="18"/>
      <c r="Z146" s="18"/>
      <c r="AA146" s="5"/>
      <c r="AB146" s="5"/>
      <c r="AC146" s="5"/>
      <c r="AD146" s="5"/>
      <c r="AE146" s="5"/>
      <c r="AF146" s="5"/>
      <c r="AG146" s="5"/>
      <c r="AH146" s="5"/>
      <c r="AI146" s="5"/>
      <c r="AJ146" s="18"/>
      <c r="AK146" s="5"/>
      <c r="AL146" s="5"/>
    </row>
    <row r="147" ht="42" customHeight="1" spans="1:38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8"/>
      <c r="U147" s="5"/>
      <c r="V147" s="5"/>
      <c r="W147" s="5"/>
      <c r="X147" s="5"/>
      <c r="Y147" s="18"/>
      <c r="Z147" s="18"/>
      <c r="AA147" s="5"/>
      <c r="AB147" s="5"/>
      <c r="AC147" s="5"/>
      <c r="AD147" s="5"/>
      <c r="AE147" s="5"/>
      <c r="AF147" s="5"/>
      <c r="AG147" s="5"/>
      <c r="AH147" s="5"/>
      <c r="AI147" s="5"/>
      <c r="AJ147" s="18"/>
      <c r="AK147" s="5"/>
      <c r="AL147" s="5"/>
    </row>
    <row r="148" ht="42" customHeight="1" spans="1:3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8"/>
      <c r="U148" s="5"/>
      <c r="V148" s="5"/>
      <c r="W148" s="5"/>
      <c r="X148" s="5"/>
      <c r="Y148" s="18"/>
      <c r="Z148" s="18"/>
      <c r="AA148" s="5"/>
      <c r="AB148" s="5"/>
      <c r="AC148" s="5"/>
      <c r="AD148" s="5"/>
      <c r="AE148" s="5"/>
      <c r="AF148" s="5"/>
      <c r="AG148" s="5"/>
      <c r="AH148" s="5"/>
      <c r="AI148" s="5"/>
      <c r="AJ148" s="18"/>
      <c r="AK148" s="5"/>
      <c r="AL148" s="5"/>
    </row>
    <row r="149" ht="42" customHeight="1" spans="1:38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8"/>
      <c r="U149" s="5"/>
      <c r="V149" s="5"/>
      <c r="W149" s="5"/>
      <c r="X149" s="5"/>
      <c r="Y149" s="18"/>
      <c r="Z149" s="18"/>
      <c r="AA149" s="5"/>
      <c r="AB149" s="5"/>
      <c r="AC149" s="5"/>
      <c r="AD149" s="5"/>
      <c r="AE149" s="5"/>
      <c r="AF149" s="5"/>
      <c r="AG149" s="5"/>
      <c r="AH149" s="5"/>
      <c r="AI149" s="5"/>
      <c r="AJ149" s="18"/>
      <c r="AK149" s="5"/>
      <c r="AL149" s="5"/>
    </row>
    <row r="150" ht="42" customHeight="1" spans="1:38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8"/>
      <c r="U150" s="5"/>
      <c r="V150" s="5"/>
      <c r="W150" s="5"/>
      <c r="X150" s="5"/>
      <c r="Y150" s="18"/>
      <c r="Z150" s="18"/>
      <c r="AA150" s="5"/>
      <c r="AB150" s="5"/>
      <c r="AC150" s="5"/>
      <c r="AD150" s="5"/>
      <c r="AE150" s="5"/>
      <c r="AF150" s="5"/>
      <c r="AG150" s="5"/>
      <c r="AH150" s="5"/>
      <c r="AI150" s="5"/>
      <c r="AJ150" s="18"/>
      <c r="AK150" s="5"/>
      <c r="AL150" s="5"/>
    </row>
    <row r="151" ht="42" customHeight="1" spans="1:38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8"/>
      <c r="U151" s="5"/>
      <c r="V151" s="5"/>
      <c r="W151" s="5"/>
      <c r="X151" s="5"/>
      <c r="Y151" s="18"/>
      <c r="Z151" s="18"/>
      <c r="AA151" s="5"/>
      <c r="AB151" s="5"/>
      <c r="AC151" s="5"/>
      <c r="AD151" s="5"/>
      <c r="AE151" s="5"/>
      <c r="AF151" s="5"/>
      <c r="AG151" s="5"/>
      <c r="AH151" s="5"/>
      <c r="AI151" s="5"/>
      <c r="AJ151" s="18"/>
      <c r="AK151" s="5"/>
      <c r="AL151" s="5"/>
    </row>
    <row r="152" ht="42" customHeight="1" spans="1:38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8"/>
      <c r="U152" s="5"/>
      <c r="V152" s="5"/>
      <c r="W152" s="5"/>
      <c r="X152" s="5"/>
      <c r="Y152" s="18"/>
      <c r="Z152" s="18"/>
      <c r="AA152" s="5"/>
      <c r="AB152" s="5"/>
      <c r="AC152" s="5"/>
      <c r="AD152" s="5"/>
      <c r="AE152" s="5"/>
      <c r="AF152" s="5"/>
      <c r="AG152" s="5"/>
      <c r="AH152" s="5"/>
      <c r="AI152" s="5"/>
      <c r="AJ152" s="18"/>
      <c r="AK152" s="5"/>
      <c r="AL152" s="5"/>
    </row>
    <row r="153" ht="42" customHeight="1" spans="1:38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8"/>
      <c r="U153" s="5"/>
      <c r="V153" s="5"/>
      <c r="W153" s="5"/>
      <c r="X153" s="5"/>
      <c r="Y153" s="18"/>
      <c r="Z153" s="18"/>
      <c r="AA153" s="5"/>
      <c r="AB153" s="5"/>
      <c r="AC153" s="5"/>
      <c r="AD153" s="5"/>
      <c r="AE153" s="5"/>
      <c r="AF153" s="5"/>
      <c r="AG153" s="5"/>
      <c r="AH153" s="5"/>
      <c r="AI153" s="5"/>
      <c r="AJ153" s="18"/>
      <c r="AK153" s="5"/>
      <c r="AL153" s="5"/>
    </row>
    <row r="154" ht="42" customHeight="1" spans="1:38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8"/>
      <c r="U154" s="5"/>
      <c r="V154" s="5"/>
      <c r="W154" s="5"/>
      <c r="X154" s="5"/>
      <c r="Y154" s="18"/>
      <c r="Z154" s="18"/>
      <c r="AA154" s="5"/>
      <c r="AB154" s="5"/>
      <c r="AC154" s="5"/>
      <c r="AD154" s="5"/>
      <c r="AE154" s="5"/>
      <c r="AF154" s="5"/>
      <c r="AG154" s="5"/>
      <c r="AH154" s="5"/>
      <c r="AI154" s="5"/>
      <c r="AJ154" s="18"/>
      <c r="AK154" s="5"/>
      <c r="AL154" s="5"/>
    </row>
  </sheetData>
  <mergeCells count="2">
    <mergeCell ref="A1:AL1"/>
    <mergeCell ref="A2:AL2"/>
  </mergeCells>
  <dataValidations count="6">
    <dataValidation type="list" sqref="I5:I200">
      <formula1>"都会,雅致,轻奢,清新,典雅,精选,高定,现代"</formula1>
    </dataValidation>
    <dataValidation type="list" sqref="S5:S200">
      <formula1>"否,是"</formula1>
    </dataValidation>
    <dataValidation type="list" sqref="U5:U154">
      <formula1>"草稿,已发布,已下线"</formula1>
    </dataValidation>
    <dataValidation type="whole" operator="between" sqref="X5:X154">
      <formula1>1</formula1>
      <formula2>9999</formula2>
    </dataValidation>
    <dataValidation type="list" sqref="AL5:AL154">
      <formula1>"待完善,待审核,已完成"</formula1>
    </dataValidation>
    <dataValidation type="list" sqref="V5:W154">
      <formula1>"是,否"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C89A45"/>
  </sheetPr>
  <dimension ref="A1:E70"/>
  <sheetViews>
    <sheetView showGridLines="0" workbookViewId="0">
      <pane xSplit="3" ySplit="4" topLeftCell="D60" activePane="bottomRight" state="frozen"/>
      <selection/>
      <selection pane="topRight"/>
      <selection pane="bottomLeft"/>
      <selection pane="bottomRight" activeCell="D40" sqref="D40"/>
    </sheetView>
  </sheetViews>
  <sheetFormatPr defaultColWidth="9" defaultRowHeight="14.25" outlineLevelCol="4"/>
  <cols>
    <col min="1" max="1" width="18" style="1" customWidth="1"/>
    <col min="2" max="2" width="28" style="1" customWidth="1"/>
    <col min="3" max="3" width="25" style="1" customWidth="1"/>
    <col min="4" max="4" width="82" style="1" customWidth="1"/>
    <col min="5" max="5" width="34" style="1" customWidth="1"/>
  </cols>
  <sheetData>
    <row r="1" ht="34" customHeight="1" spans="1:5">
      <c r="A1" s="2" t="s">
        <v>598</v>
      </c>
      <c r="B1" s="2"/>
      <c r="C1" s="2"/>
      <c r="D1" s="2"/>
      <c r="E1" s="2"/>
    </row>
    <row r="2" ht="24" customHeight="1" spans="1:5">
      <c r="A2" s="9" t="s">
        <v>599</v>
      </c>
      <c r="B2" s="9"/>
      <c r="C2" s="9"/>
      <c r="D2" s="9"/>
      <c r="E2" s="9"/>
    </row>
    <row r="3" ht="8" customHeight="1" spans="1:5">
      <c r="A3" s="10"/>
      <c r="B3" s="10"/>
      <c r="C3" s="10"/>
      <c r="D3" s="10"/>
      <c r="E3" s="10"/>
    </row>
    <row r="4" ht="34" customHeight="1" spans="1:5">
      <c r="A4" s="11" t="s">
        <v>600</v>
      </c>
      <c r="B4" s="11" t="s">
        <v>601</v>
      </c>
      <c r="C4" s="11" t="s">
        <v>602</v>
      </c>
      <c r="D4" s="11" t="s">
        <v>603</v>
      </c>
      <c r="E4" s="11" t="s">
        <v>604</v>
      </c>
    </row>
    <row r="5" ht="42" customHeight="1" spans="1:5">
      <c r="A5" s="12" t="s">
        <v>605</v>
      </c>
      <c r="B5" s="12" t="s">
        <v>606</v>
      </c>
      <c r="C5" s="12" t="s">
        <v>607</v>
      </c>
      <c r="D5" s="13" t="s">
        <v>608</v>
      </c>
      <c r="E5" s="14" t="s">
        <v>609</v>
      </c>
    </row>
    <row r="6" ht="42" customHeight="1" spans="1:5">
      <c r="A6" s="12" t="s">
        <v>605</v>
      </c>
      <c r="B6" s="12" t="s">
        <v>610</v>
      </c>
      <c r="C6" s="12" t="s">
        <v>611</v>
      </c>
      <c r="D6" s="13" t="s">
        <v>612</v>
      </c>
      <c r="E6" s="14" t="s">
        <v>613</v>
      </c>
    </row>
    <row r="7" ht="42" customHeight="1" spans="1:5">
      <c r="A7" s="12" t="s">
        <v>605</v>
      </c>
      <c r="B7" s="12" t="s">
        <v>614</v>
      </c>
      <c r="C7" s="12" t="s">
        <v>615</v>
      </c>
      <c r="D7" s="13" t="s">
        <v>616</v>
      </c>
      <c r="E7" s="14" t="s">
        <v>617</v>
      </c>
    </row>
    <row r="8" ht="42" customHeight="1" spans="1:5">
      <c r="A8" s="12" t="s">
        <v>605</v>
      </c>
      <c r="B8" s="12" t="s">
        <v>618</v>
      </c>
      <c r="C8" s="12" t="s">
        <v>619</v>
      </c>
      <c r="D8" s="13" t="s">
        <v>620</v>
      </c>
      <c r="E8" s="14" t="s">
        <v>621</v>
      </c>
    </row>
    <row r="9" ht="42" customHeight="1" spans="1:5">
      <c r="A9" s="12" t="s">
        <v>605</v>
      </c>
      <c r="B9" s="12" t="s">
        <v>622</v>
      </c>
      <c r="C9" s="12" t="s">
        <v>623</v>
      </c>
      <c r="D9" s="13" t="s">
        <v>624</v>
      </c>
      <c r="E9" s="14" t="s">
        <v>625</v>
      </c>
    </row>
    <row r="10" ht="42" customHeight="1" spans="1:5">
      <c r="A10" s="12" t="s">
        <v>605</v>
      </c>
      <c r="B10" s="12" t="s">
        <v>626</v>
      </c>
      <c r="C10" s="12" t="s">
        <v>627</v>
      </c>
      <c r="D10" s="13" t="s">
        <v>628</v>
      </c>
      <c r="E10" s="14" t="s">
        <v>629</v>
      </c>
    </row>
    <row r="11" ht="42" customHeight="1" spans="1:5">
      <c r="A11" s="12" t="s">
        <v>605</v>
      </c>
      <c r="B11" s="12" t="s">
        <v>630</v>
      </c>
      <c r="C11" s="12" t="s">
        <v>631</v>
      </c>
      <c r="D11" s="13" t="s">
        <v>632</v>
      </c>
      <c r="E11" s="14" t="s">
        <v>617</v>
      </c>
    </row>
    <row r="12" ht="42" customHeight="1" spans="1:5">
      <c r="A12" s="12" t="s">
        <v>605</v>
      </c>
      <c r="B12" s="12" t="s">
        <v>633</v>
      </c>
      <c r="C12" s="12" t="s">
        <v>634</v>
      </c>
      <c r="D12" s="13" t="s">
        <v>635</v>
      </c>
      <c r="E12" s="14" t="s">
        <v>617</v>
      </c>
    </row>
    <row r="13" ht="42" customHeight="1" spans="1:5">
      <c r="A13" s="12" t="s">
        <v>636</v>
      </c>
      <c r="B13" s="12" t="s">
        <v>637</v>
      </c>
      <c r="C13" s="12" t="s">
        <v>7</v>
      </c>
      <c r="D13" s="13" t="s">
        <v>638</v>
      </c>
      <c r="E13" s="14" t="s">
        <v>639</v>
      </c>
    </row>
    <row r="14" ht="42" customHeight="1" spans="1:5">
      <c r="A14" s="12" t="s">
        <v>636</v>
      </c>
      <c r="B14" s="12" t="s">
        <v>640</v>
      </c>
      <c r="C14" s="12" t="s">
        <v>8</v>
      </c>
      <c r="D14" s="13" t="s">
        <v>641</v>
      </c>
      <c r="E14" s="14" t="s">
        <v>642</v>
      </c>
    </row>
    <row r="15" ht="42" customHeight="1" spans="1:5">
      <c r="A15" s="12" t="s">
        <v>643</v>
      </c>
      <c r="B15" s="12" t="s">
        <v>644</v>
      </c>
      <c r="C15" s="12" t="s">
        <v>645</v>
      </c>
      <c r="D15" s="13" t="s">
        <v>646</v>
      </c>
      <c r="E15" s="14" t="s">
        <v>647</v>
      </c>
    </row>
    <row r="16" ht="42" customHeight="1" spans="1:5">
      <c r="A16" s="12" t="s">
        <v>643</v>
      </c>
      <c r="B16" s="12" t="s">
        <v>648</v>
      </c>
      <c r="C16" s="12" t="s">
        <v>649</v>
      </c>
      <c r="D16" s="13" t="s">
        <v>650</v>
      </c>
      <c r="E16" s="14" t="s">
        <v>651</v>
      </c>
    </row>
    <row r="17" ht="42" customHeight="1" spans="1:5">
      <c r="A17" s="12" t="s">
        <v>652</v>
      </c>
      <c r="B17" s="12" t="s">
        <v>653</v>
      </c>
      <c r="C17" s="12" t="s">
        <v>654</v>
      </c>
      <c r="D17" s="13" t="s">
        <v>655</v>
      </c>
      <c r="E17" s="14" t="s">
        <v>656</v>
      </c>
    </row>
    <row r="18" ht="42" customHeight="1" spans="1:5">
      <c r="A18" s="12" t="s">
        <v>652</v>
      </c>
      <c r="B18" s="12" t="s">
        <v>657</v>
      </c>
      <c r="C18" s="12" t="s">
        <v>658</v>
      </c>
      <c r="D18" s="13" t="s">
        <v>659</v>
      </c>
      <c r="E18" s="14" t="s">
        <v>660</v>
      </c>
    </row>
    <row r="19" ht="42" customHeight="1" spans="1:5">
      <c r="A19" s="12" t="s">
        <v>652</v>
      </c>
      <c r="B19" s="12" t="s">
        <v>661</v>
      </c>
      <c r="C19" s="12" t="s">
        <v>662</v>
      </c>
      <c r="D19" s="13" t="s">
        <v>663</v>
      </c>
      <c r="E19" s="14" t="s">
        <v>664</v>
      </c>
    </row>
    <row r="20" ht="42" customHeight="1" spans="1:5">
      <c r="A20" s="12" t="s">
        <v>652</v>
      </c>
      <c r="B20" s="12" t="s">
        <v>665</v>
      </c>
      <c r="C20" s="12" t="s">
        <v>666</v>
      </c>
      <c r="D20" s="13" t="s">
        <v>667</v>
      </c>
      <c r="E20" s="14" t="s">
        <v>668</v>
      </c>
    </row>
    <row r="21" ht="42" customHeight="1" spans="1:5">
      <c r="A21" s="12" t="s">
        <v>669</v>
      </c>
      <c r="B21" s="12" t="s">
        <v>670</v>
      </c>
      <c r="C21" s="12" t="s">
        <v>671</v>
      </c>
      <c r="D21" s="13" t="s">
        <v>672</v>
      </c>
      <c r="E21" s="14" t="s">
        <v>673</v>
      </c>
    </row>
    <row r="22" ht="42" customHeight="1" spans="1:5">
      <c r="A22" s="12" t="s">
        <v>669</v>
      </c>
      <c r="B22" s="12" t="s">
        <v>674</v>
      </c>
      <c r="C22" s="12" t="s">
        <v>675</v>
      </c>
      <c r="D22" s="13" t="s">
        <v>676</v>
      </c>
      <c r="E22" s="14" t="s">
        <v>673</v>
      </c>
    </row>
    <row r="23" ht="42" customHeight="1" spans="1:5">
      <c r="A23" s="12" t="s">
        <v>669</v>
      </c>
      <c r="B23" s="12" t="s">
        <v>677</v>
      </c>
      <c r="C23" s="12" t="s">
        <v>678</v>
      </c>
      <c r="D23" s="13" t="s">
        <v>679</v>
      </c>
      <c r="E23" s="14" t="s">
        <v>680</v>
      </c>
    </row>
    <row r="24" ht="42" customHeight="1" spans="1:5">
      <c r="A24" s="12" t="s">
        <v>669</v>
      </c>
      <c r="B24" s="12" t="s">
        <v>681</v>
      </c>
      <c r="C24" s="12" t="s">
        <v>682</v>
      </c>
      <c r="D24" s="13" t="s">
        <v>683</v>
      </c>
      <c r="E24" s="14" t="s">
        <v>684</v>
      </c>
    </row>
    <row r="25" ht="42" customHeight="1" spans="1:5">
      <c r="A25" s="12" t="s">
        <v>685</v>
      </c>
      <c r="B25" s="12" t="s">
        <v>686</v>
      </c>
      <c r="C25" s="12" t="s">
        <v>687</v>
      </c>
      <c r="D25" s="13" t="s">
        <v>688</v>
      </c>
      <c r="E25" s="14" t="s">
        <v>689</v>
      </c>
    </row>
    <row r="26" ht="42" customHeight="1" spans="1:5">
      <c r="A26" s="12" t="s">
        <v>685</v>
      </c>
      <c r="B26" s="12" t="s">
        <v>690</v>
      </c>
      <c r="C26" s="12" t="s">
        <v>691</v>
      </c>
      <c r="D26" s="13" t="s">
        <v>692</v>
      </c>
      <c r="E26" s="14" t="s">
        <v>693</v>
      </c>
    </row>
    <row r="27" ht="42" customHeight="1" spans="1:5">
      <c r="A27" s="12" t="s">
        <v>685</v>
      </c>
      <c r="B27" s="12" t="s">
        <v>694</v>
      </c>
      <c r="C27" s="12" t="s">
        <v>695</v>
      </c>
      <c r="D27" s="13" t="s">
        <v>696</v>
      </c>
      <c r="E27" s="14" t="s">
        <v>693</v>
      </c>
    </row>
    <row r="28" ht="42" customHeight="1" spans="1:5">
      <c r="A28" s="12" t="s">
        <v>685</v>
      </c>
      <c r="B28" s="12" t="s">
        <v>697</v>
      </c>
      <c r="C28" s="12" t="s">
        <v>698</v>
      </c>
      <c r="D28" s="13" t="s">
        <v>699</v>
      </c>
      <c r="E28" s="14" t="s">
        <v>700</v>
      </c>
    </row>
    <row r="29" ht="42" customHeight="1" spans="1:5">
      <c r="A29" s="12" t="s">
        <v>701</v>
      </c>
      <c r="B29" s="12" t="s">
        <v>702</v>
      </c>
      <c r="C29" s="12" t="s">
        <v>703</v>
      </c>
      <c r="D29" s="13" t="s">
        <v>704</v>
      </c>
      <c r="E29" s="14" t="s">
        <v>693</v>
      </c>
    </row>
    <row r="30" ht="42" customHeight="1" spans="1:5">
      <c r="A30" s="12" t="s">
        <v>701</v>
      </c>
      <c r="B30" s="12" t="s">
        <v>705</v>
      </c>
      <c r="C30" s="12" t="s">
        <v>706</v>
      </c>
      <c r="D30" s="13" t="s">
        <v>707</v>
      </c>
      <c r="E30" s="14" t="s">
        <v>693</v>
      </c>
    </row>
    <row r="31" ht="42" customHeight="1" spans="1:5">
      <c r="A31" s="12" t="s">
        <v>708</v>
      </c>
      <c r="B31" s="12" t="s">
        <v>709</v>
      </c>
      <c r="C31" s="12" t="s">
        <v>710</v>
      </c>
      <c r="D31" s="13" t="s">
        <v>711</v>
      </c>
      <c r="E31" s="14" t="s">
        <v>712</v>
      </c>
    </row>
    <row r="32" ht="42" customHeight="1" spans="1:5">
      <c r="A32" s="12" t="s">
        <v>708</v>
      </c>
      <c r="B32" s="12" t="s">
        <v>713</v>
      </c>
      <c r="C32" s="12" t="s">
        <v>714</v>
      </c>
      <c r="D32" s="13" t="s">
        <v>715</v>
      </c>
      <c r="E32" s="14" t="s">
        <v>712</v>
      </c>
    </row>
    <row r="33" ht="42" customHeight="1" spans="1:5">
      <c r="A33" s="12" t="s">
        <v>708</v>
      </c>
      <c r="B33" s="12" t="s">
        <v>716</v>
      </c>
      <c r="C33" s="12" t="s">
        <v>717</v>
      </c>
      <c r="D33" s="13" t="s">
        <v>718</v>
      </c>
      <c r="E33" s="14" t="s">
        <v>712</v>
      </c>
    </row>
    <row r="34" ht="42" customHeight="1" spans="1:5">
      <c r="A34" s="12" t="s">
        <v>708</v>
      </c>
      <c r="B34" s="12" t="s">
        <v>719</v>
      </c>
      <c r="C34" s="12" t="s">
        <v>720</v>
      </c>
      <c r="D34" s="13" t="s">
        <v>721</v>
      </c>
      <c r="E34" s="14" t="s">
        <v>712</v>
      </c>
    </row>
    <row r="35" ht="42" customHeight="1" spans="1:5">
      <c r="A35" s="12" t="s">
        <v>708</v>
      </c>
      <c r="B35" s="12" t="s">
        <v>722</v>
      </c>
      <c r="C35" s="12" t="s">
        <v>723</v>
      </c>
      <c r="D35" s="13" t="s">
        <v>724</v>
      </c>
      <c r="E35" s="14" t="s">
        <v>712</v>
      </c>
    </row>
    <row r="36" ht="42" customHeight="1" spans="1:5">
      <c r="A36" s="12" t="s">
        <v>708</v>
      </c>
      <c r="B36" s="12" t="s">
        <v>725</v>
      </c>
      <c r="C36" s="12" t="s">
        <v>726</v>
      </c>
      <c r="D36" s="13" t="s">
        <v>727</v>
      </c>
      <c r="E36" s="14" t="s">
        <v>712</v>
      </c>
    </row>
    <row r="37" ht="42" customHeight="1" spans="1:5">
      <c r="A37" s="12" t="s">
        <v>708</v>
      </c>
      <c r="B37" s="12" t="s">
        <v>728</v>
      </c>
      <c r="C37" s="12" t="s">
        <v>729</v>
      </c>
      <c r="D37" s="13" t="s">
        <v>730</v>
      </c>
      <c r="E37" s="14" t="s">
        <v>712</v>
      </c>
    </row>
    <row r="38" ht="42" customHeight="1" spans="1:5">
      <c r="A38" s="12" t="s">
        <v>708</v>
      </c>
      <c r="B38" s="12" t="s">
        <v>731</v>
      </c>
      <c r="C38" s="12" t="s">
        <v>732</v>
      </c>
      <c r="D38" s="13" t="s">
        <v>733</v>
      </c>
      <c r="E38" s="14" t="s">
        <v>712</v>
      </c>
    </row>
    <row r="39" ht="42" customHeight="1" spans="1:5">
      <c r="A39" s="12" t="s">
        <v>708</v>
      </c>
      <c r="B39" s="12" t="s">
        <v>734</v>
      </c>
      <c r="C39" s="12" t="s">
        <v>735</v>
      </c>
      <c r="D39" s="13" t="s">
        <v>736</v>
      </c>
      <c r="E39" s="14" t="s">
        <v>712</v>
      </c>
    </row>
    <row r="40" ht="42" customHeight="1" spans="1:5">
      <c r="A40" s="12" t="s">
        <v>737</v>
      </c>
      <c r="B40" s="12" t="s">
        <v>738</v>
      </c>
      <c r="C40" s="12" t="s">
        <v>739</v>
      </c>
      <c r="D40" s="13"/>
      <c r="E40" s="14" t="s">
        <v>656</v>
      </c>
    </row>
    <row r="41" ht="42" customHeight="1" spans="1:5">
      <c r="A41" s="12" t="s">
        <v>737</v>
      </c>
      <c r="B41" s="12" t="s">
        <v>740</v>
      </c>
      <c r="C41" s="12" t="s">
        <v>741</v>
      </c>
      <c r="D41" s="13" t="s">
        <v>742</v>
      </c>
      <c r="E41" s="14" t="s">
        <v>743</v>
      </c>
    </row>
    <row r="42" ht="42" customHeight="1" spans="1:5">
      <c r="A42" s="12" t="s">
        <v>737</v>
      </c>
      <c r="B42" s="12" t="s">
        <v>744</v>
      </c>
      <c r="C42" s="12" t="s">
        <v>745</v>
      </c>
      <c r="D42" s="13" t="s">
        <v>746</v>
      </c>
      <c r="E42" s="14" t="s">
        <v>747</v>
      </c>
    </row>
    <row r="43" ht="42" customHeight="1" spans="1:5">
      <c r="A43" s="12" t="s">
        <v>737</v>
      </c>
      <c r="B43" s="12" t="s">
        <v>748</v>
      </c>
      <c r="C43" s="12" t="s">
        <v>749</v>
      </c>
      <c r="D43" s="13" t="s">
        <v>750</v>
      </c>
      <c r="E43" s="14" t="s">
        <v>751</v>
      </c>
    </row>
    <row r="44" ht="42" customHeight="1" spans="1:5">
      <c r="A44" s="12" t="s">
        <v>737</v>
      </c>
      <c r="B44" s="12" t="s">
        <v>752</v>
      </c>
      <c r="C44" s="12" t="s">
        <v>753</v>
      </c>
      <c r="D44" s="13" t="s">
        <v>754</v>
      </c>
      <c r="E44" s="14" t="s">
        <v>755</v>
      </c>
    </row>
    <row r="45" ht="42" customHeight="1" spans="1:5">
      <c r="A45" s="12" t="s">
        <v>737</v>
      </c>
      <c r="B45" s="12" t="s">
        <v>756</v>
      </c>
      <c r="C45" s="12" t="s">
        <v>757</v>
      </c>
      <c r="D45" s="13" t="s">
        <v>758</v>
      </c>
      <c r="E45" s="14" t="s">
        <v>759</v>
      </c>
    </row>
    <row r="46" ht="42" customHeight="1" spans="1:5">
      <c r="A46" s="12" t="s">
        <v>737</v>
      </c>
      <c r="B46" s="12" t="s">
        <v>760</v>
      </c>
      <c r="C46" s="12" t="s">
        <v>761</v>
      </c>
      <c r="D46" s="13" t="s">
        <v>762</v>
      </c>
      <c r="E46" s="14" t="s">
        <v>763</v>
      </c>
    </row>
    <row r="47" ht="42" customHeight="1" spans="1:5">
      <c r="A47" s="12" t="s">
        <v>737</v>
      </c>
      <c r="B47" s="12" t="s">
        <v>764</v>
      </c>
      <c r="C47" s="12" t="s">
        <v>765</v>
      </c>
      <c r="D47" s="13" t="s">
        <v>766</v>
      </c>
      <c r="E47" s="14" t="s">
        <v>767</v>
      </c>
    </row>
    <row r="48" ht="42" customHeight="1" spans="1:5">
      <c r="A48" s="12" t="s">
        <v>737</v>
      </c>
      <c r="B48" s="12" t="s">
        <v>768</v>
      </c>
      <c r="C48" s="12" t="s">
        <v>769</v>
      </c>
      <c r="D48" s="13" t="s">
        <v>770</v>
      </c>
      <c r="E48" s="14" t="s">
        <v>771</v>
      </c>
    </row>
    <row r="49" ht="42" customHeight="1" spans="1:5">
      <c r="A49" s="12" t="s">
        <v>737</v>
      </c>
      <c r="B49" s="12" t="s">
        <v>772</v>
      </c>
      <c r="C49" s="12" t="s">
        <v>773</v>
      </c>
      <c r="D49" s="13" t="s">
        <v>774</v>
      </c>
      <c r="E49" s="14" t="s">
        <v>775</v>
      </c>
    </row>
    <row r="50" ht="42" customHeight="1" spans="1:5">
      <c r="A50" s="12" t="s">
        <v>737</v>
      </c>
      <c r="B50" s="12" t="s">
        <v>776</v>
      </c>
      <c r="C50" s="12" t="s">
        <v>777</v>
      </c>
      <c r="D50" s="13" t="s">
        <v>778</v>
      </c>
      <c r="E50" s="14" t="s">
        <v>779</v>
      </c>
    </row>
    <row r="51" ht="42" customHeight="1" spans="1:5">
      <c r="A51" s="12" t="s">
        <v>737</v>
      </c>
      <c r="B51" s="12" t="s">
        <v>780</v>
      </c>
      <c r="C51" s="12" t="s">
        <v>781</v>
      </c>
      <c r="D51" s="13" t="s">
        <v>782</v>
      </c>
      <c r="E51" s="14" t="s">
        <v>783</v>
      </c>
    </row>
    <row r="52" ht="42" customHeight="1" spans="1:5">
      <c r="A52" s="12" t="s">
        <v>784</v>
      </c>
      <c r="B52" s="12" t="s">
        <v>785</v>
      </c>
      <c r="C52" s="12" t="s">
        <v>786</v>
      </c>
      <c r="D52" s="13" t="s">
        <v>787</v>
      </c>
      <c r="E52" s="14" t="s">
        <v>788</v>
      </c>
    </row>
    <row r="53" ht="42" customHeight="1" spans="1:5">
      <c r="A53" s="12" t="s">
        <v>784</v>
      </c>
      <c r="B53" s="12" t="s">
        <v>789</v>
      </c>
      <c r="C53" s="12" t="s">
        <v>790</v>
      </c>
      <c r="D53" s="13" t="s">
        <v>791</v>
      </c>
      <c r="E53" s="14" t="s">
        <v>792</v>
      </c>
    </row>
    <row r="54" ht="42" customHeight="1" spans="1:5">
      <c r="A54" s="12" t="s">
        <v>784</v>
      </c>
      <c r="B54" s="12" t="s">
        <v>793</v>
      </c>
      <c r="C54" s="12" t="s">
        <v>794</v>
      </c>
      <c r="D54" s="13" t="s">
        <v>795</v>
      </c>
      <c r="E54" s="14" t="s">
        <v>796</v>
      </c>
    </row>
    <row r="55" ht="42" customHeight="1" spans="1:5">
      <c r="A55" s="12" t="s">
        <v>784</v>
      </c>
      <c r="B55" s="12" t="s">
        <v>797</v>
      </c>
      <c r="C55" s="12" t="s">
        <v>798</v>
      </c>
      <c r="D55" s="19">
        <v>8</v>
      </c>
      <c r="E55" s="14" t="s">
        <v>799</v>
      </c>
    </row>
    <row r="56" ht="42" customHeight="1" spans="1:5">
      <c r="A56" s="12" t="s">
        <v>800</v>
      </c>
      <c r="B56" s="12" t="s">
        <v>801</v>
      </c>
      <c r="C56" s="12" t="s">
        <v>802</v>
      </c>
      <c r="D56" s="13" t="s">
        <v>803</v>
      </c>
      <c r="E56" s="14" t="s">
        <v>656</v>
      </c>
    </row>
    <row r="57" ht="42" customHeight="1" spans="1:5">
      <c r="A57" s="12" t="s">
        <v>800</v>
      </c>
      <c r="B57" s="12" t="s">
        <v>804</v>
      </c>
      <c r="C57" s="12" t="s">
        <v>805</v>
      </c>
      <c r="D57" s="13" t="s">
        <v>800</v>
      </c>
      <c r="E57" s="14" t="s">
        <v>806</v>
      </c>
    </row>
    <row r="58" ht="42" customHeight="1" spans="1:5">
      <c r="A58" s="12" t="s">
        <v>800</v>
      </c>
      <c r="B58" s="12" t="s">
        <v>807</v>
      </c>
      <c r="C58" s="12" t="s">
        <v>808</v>
      </c>
      <c r="D58" s="13" t="s">
        <v>809</v>
      </c>
      <c r="E58" s="14" t="s">
        <v>810</v>
      </c>
    </row>
    <row r="59" ht="42" customHeight="1" spans="1:5">
      <c r="A59" s="12" t="s">
        <v>800</v>
      </c>
      <c r="B59" s="12" t="s">
        <v>811</v>
      </c>
      <c r="C59" s="12" t="s">
        <v>812</v>
      </c>
      <c r="D59" s="13" t="s">
        <v>813</v>
      </c>
      <c r="E59" s="14" t="s">
        <v>814</v>
      </c>
    </row>
    <row r="60" ht="42" customHeight="1" spans="1:5">
      <c r="A60" s="12" t="s">
        <v>800</v>
      </c>
      <c r="B60" s="12" t="s">
        <v>815</v>
      </c>
      <c r="C60" s="12" t="s">
        <v>816</v>
      </c>
      <c r="D60" s="13" t="s">
        <v>817</v>
      </c>
      <c r="E60" s="14" t="s">
        <v>818</v>
      </c>
    </row>
    <row r="61" ht="42" customHeight="1" spans="1:5">
      <c r="A61" s="12" t="s">
        <v>800</v>
      </c>
      <c r="B61" s="12" t="s">
        <v>819</v>
      </c>
      <c r="C61" s="12" t="s">
        <v>820</v>
      </c>
      <c r="D61" s="13" t="s">
        <v>821</v>
      </c>
      <c r="E61" s="14" t="s">
        <v>814</v>
      </c>
    </row>
    <row r="62" ht="42" customHeight="1" spans="1:5">
      <c r="A62" s="12" t="s">
        <v>800</v>
      </c>
      <c r="B62" s="12" t="s">
        <v>822</v>
      </c>
      <c r="C62" s="12" t="s">
        <v>823</v>
      </c>
      <c r="D62" s="13" t="s">
        <v>824</v>
      </c>
      <c r="E62" s="14" t="s">
        <v>825</v>
      </c>
    </row>
    <row r="63" ht="42" customHeight="1" spans="1:5">
      <c r="A63" s="12" t="s">
        <v>800</v>
      </c>
      <c r="B63" s="12" t="s">
        <v>826</v>
      </c>
      <c r="C63" s="12" t="s">
        <v>827</v>
      </c>
      <c r="D63" s="13" t="s">
        <v>828</v>
      </c>
      <c r="E63" s="14" t="s">
        <v>814</v>
      </c>
    </row>
    <row r="64" ht="42" customHeight="1" spans="1:5">
      <c r="A64" s="12" t="s">
        <v>800</v>
      </c>
      <c r="B64" s="12" t="s">
        <v>829</v>
      </c>
      <c r="C64" s="12" t="s">
        <v>830</v>
      </c>
      <c r="D64" s="13" t="s">
        <v>831</v>
      </c>
      <c r="E64" s="14" t="s">
        <v>832</v>
      </c>
    </row>
    <row r="65" ht="42" customHeight="1" spans="1:5">
      <c r="A65" s="12" t="s">
        <v>800</v>
      </c>
      <c r="B65" s="12" t="s">
        <v>833</v>
      </c>
      <c r="C65" s="12" t="s">
        <v>834</v>
      </c>
      <c r="D65" s="13" t="s">
        <v>835</v>
      </c>
      <c r="E65" s="14" t="s">
        <v>814</v>
      </c>
    </row>
    <row r="66" ht="42" customHeight="1" spans="1:5">
      <c r="A66" s="12" t="s">
        <v>800</v>
      </c>
      <c r="B66" s="12" t="s">
        <v>836</v>
      </c>
      <c r="C66" s="12" t="s">
        <v>837</v>
      </c>
      <c r="D66" s="13" t="s">
        <v>838</v>
      </c>
      <c r="E66" s="14" t="s">
        <v>839</v>
      </c>
    </row>
    <row r="67" ht="42" customHeight="1" spans="1:5">
      <c r="A67" s="12" t="s">
        <v>800</v>
      </c>
      <c r="B67" s="12" t="s">
        <v>840</v>
      </c>
      <c r="C67" s="12" t="s">
        <v>841</v>
      </c>
      <c r="D67" s="13" t="s">
        <v>842</v>
      </c>
      <c r="E67" s="14" t="s">
        <v>814</v>
      </c>
    </row>
    <row r="68" ht="42" customHeight="1" spans="1:5">
      <c r="A68" s="12" t="s">
        <v>800</v>
      </c>
      <c r="B68" s="12" t="s">
        <v>843</v>
      </c>
      <c r="C68" s="12" t="s">
        <v>844</v>
      </c>
      <c r="D68" s="13" t="s">
        <v>845</v>
      </c>
      <c r="E68" s="14" t="s">
        <v>846</v>
      </c>
    </row>
    <row r="69" ht="42" customHeight="1" spans="1:5">
      <c r="A69" s="12" t="s">
        <v>800</v>
      </c>
      <c r="B69" s="12" t="s">
        <v>847</v>
      </c>
      <c r="C69" s="12" t="s">
        <v>848</v>
      </c>
      <c r="D69" s="13" t="s">
        <v>849</v>
      </c>
      <c r="E69" s="14" t="s">
        <v>814</v>
      </c>
    </row>
    <row r="70" ht="42" customHeight="1" spans="1:5">
      <c r="A70" s="12" t="s">
        <v>800</v>
      </c>
      <c r="B70" s="12" t="s">
        <v>850</v>
      </c>
      <c r="C70" s="12" t="s">
        <v>851</v>
      </c>
      <c r="D70" s="13" t="s">
        <v>852</v>
      </c>
      <c r="E70" s="14" t="s">
        <v>853</v>
      </c>
    </row>
  </sheetData>
  <dataValidations count="1">
    <dataValidation type="whole" operator="between" sqref="D55">
      <formula1>4</formula1>
      <formula2>12</formula2>
    </dataValidation>
  </dataValidations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C89A45"/>
  </sheetPr>
  <dimension ref="A1:AN29"/>
  <sheetViews>
    <sheetView showGridLines="0" workbookViewId="0">
      <pane xSplit="2" ySplit="4" topLeftCell="C5" activePane="bottomRight" state="frozen"/>
      <selection/>
      <selection pane="topRight"/>
      <selection pane="bottomLeft"/>
      <selection pane="bottomRight" activeCell="A5" sqref="A5"/>
    </sheetView>
  </sheetViews>
  <sheetFormatPr defaultColWidth="9" defaultRowHeight="14.25"/>
  <cols>
    <col min="1" max="1" width="12" style="1" customWidth="1"/>
    <col min="2" max="2" width="15" style="1" customWidth="1"/>
    <col min="3" max="4" width="23" style="1" customWidth="1"/>
    <col min="5" max="5" width="42" style="1" customWidth="1"/>
    <col min="6" max="7" width="23" style="1" customWidth="1"/>
    <col min="8" max="8" width="42" style="1" customWidth="1"/>
    <col min="9" max="11" width="23" style="1" customWidth="1"/>
    <col min="12" max="13" width="42" style="1" customWidth="1"/>
    <col min="14" max="14" width="23" style="1" customWidth="1"/>
    <col min="15" max="15" width="42" style="1" customWidth="1"/>
    <col min="16" max="16" width="23" style="1" customWidth="1"/>
    <col min="17" max="17" width="42" style="1" customWidth="1"/>
    <col min="18" max="18" width="23" style="1" customWidth="1"/>
    <col min="19" max="19" width="42" style="1" customWidth="1"/>
    <col min="20" max="21" width="23" style="1" customWidth="1"/>
    <col min="22" max="22" width="42" style="1" customWidth="1"/>
    <col min="23" max="24" width="23" style="1" customWidth="1"/>
    <col min="25" max="25" width="42" style="1" customWidth="1"/>
    <col min="26" max="27" width="23" style="1" customWidth="1"/>
    <col min="28" max="28" width="42" style="1" customWidth="1"/>
    <col min="29" max="29" width="23" style="1" customWidth="1"/>
    <col min="30" max="30" width="42" style="1" customWidth="1"/>
    <col min="31" max="31" width="23" style="1" customWidth="1"/>
    <col min="32" max="32" width="42" style="1" customWidth="1"/>
    <col min="33" max="33" width="23" style="1" customWidth="1"/>
    <col min="34" max="34" width="42" style="1" customWidth="1"/>
    <col min="35" max="36" width="23" style="1" customWidth="1"/>
    <col min="37" max="39" width="12" style="1" customWidth="1"/>
    <col min="40" max="40" width="16" style="1" customWidth="1"/>
  </cols>
  <sheetData>
    <row r="1" ht="30" customHeight="1" spans="1:40">
      <c r="A1" s="15" t="s">
        <v>854</v>
      </c>
    </row>
    <row r="2" ht="25" customHeight="1" spans="1:40">
      <c r="A2" s="16" t="s">
        <v>855</v>
      </c>
    </row>
    <row r="3" ht="8" customHeight="1" spans="1:40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</row>
    <row r="4" ht="34" customHeight="1" spans="1:40">
      <c r="A4" s="4" t="s">
        <v>856</v>
      </c>
      <c r="B4" s="4" t="s">
        <v>857</v>
      </c>
      <c r="C4" s="4" t="s">
        <v>858</v>
      </c>
      <c r="D4" s="4" t="s">
        <v>7</v>
      </c>
      <c r="E4" s="4" t="s">
        <v>8</v>
      </c>
      <c r="F4" s="4" t="s">
        <v>654</v>
      </c>
      <c r="G4" s="4" t="s">
        <v>859</v>
      </c>
      <c r="H4" s="4" t="s">
        <v>666</v>
      </c>
      <c r="I4" s="4" t="s">
        <v>860</v>
      </c>
      <c r="J4" s="4" t="s">
        <v>861</v>
      </c>
      <c r="K4" s="4" t="s">
        <v>862</v>
      </c>
      <c r="L4" s="4" t="s">
        <v>12</v>
      </c>
      <c r="M4" s="4" t="s">
        <v>13</v>
      </c>
      <c r="N4" s="4" t="s">
        <v>863</v>
      </c>
      <c r="O4" s="4" t="s">
        <v>864</v>
      </c>
      <c r="P4" s="4" t="s">
        <v>865</v>
      </c>
      <c r="Q4" s="4" t="s">
        <v>866</v>
      </c>
      <c r="R4" s="4" t="s">
        <v>867</v>
      </c>
      <c r="S4" s="4" t="s">
        <v>868</v>
      </c>
      <c r="T4" s="4" t="s">
        <v>869</v>
      </c>
      <c r="U4" s="4" t="s">
        <v>870</v>
      </c>
      <c r="V4" s="4" t="s">
        <v>871</v>
      </c>
      <c r="W4" s="4" t="s">
        <v>872</v>
      </c>
      <c r="X4" s="4" t="s">
        <v>873</v>
      </c>
      <c r="Y4" s="4" t="s">
        <v>874</v>
      </c>
      <c r="Z4" s="4" t="s">
        <v>875</v>
      </c>
      <c r="AA4" s="4" t="s">
        <v>876</v>
      </c>
      <c r="AB4" s="4" t="s">
        <v>877</v>
      </c>
      <c r="AC4" s="4" t="s">
        <v>812</v>
      </c>
      <c r="AD4" s="4" t="s">
        <v>878</v>
      </c>
      <c r="AE4" s="4" t="s">
        <v>820</v>
      </c>
      <c r="AF4" s="4" t="s">
        <v>879</v>
      </c>
      <c r="AG4" s="4" t="s">
        <v>827</v>
      </c>
      <c r="AH4" s="4" t="s">
        <v>880</v>
      </c>
      <c r="AI4" s="4" t="s">
        <v>881</v>
      </c>
      <c r="AJ4" s="4" t="s">
        <v>882</v>
      </c>
      <c r="AK4" s="4" t="s">
        <v>22</v>
      </c>
      <c r="AL4" s="4" t="s">
        <v>23</v>
      </c>
      <c r="AM4" s="4" t="s">
        <v>25</v>
      </c>
      <c r="AN4" s="4" t="s">
        <v>27</v>
      </c>
    </row>
    <row r="5" ht="52" customHeight="1" spans="1:40">
      <c r="A5" s="5" t="s">
        <v>40</v>
      </c>
      <c r="B5" s="8" t="s">
        <v>41</v>
      </c>
      <c r="C5" s="5" t="s">
        <v>883</v>
      </c>
      <c r="D5" s="17" t="s">
        <v>884</v>
      </c>
      <c r="E5" s="17" t="s">
        <v>885</v>
      </c>
      <c r="F5" s="5" t="s">
        <v>886</v>
      </c>
      <c r="G5" s="17" t="s">
        <v>136</v>
      </c>
      <c r="H5" s="17" t="s">
        <v>887</v>
      </c>
      <c r="I5" s="5" t="s">
        <v>888</v>
      </c>
      <c r="J5" s="5" t="s">
        <v>889</v>
      </c>
      <c r="K5" s="17" t="s">
        <v>890</v>
      </c>
      <c r="L5" s="17" t="s">
        <v>891</v>
      </c>
      <c r="M5" s="17" t="s">
        <v>892</v>
      </c>
      <c r="N5" s="17" t="s">
        <v>893</v>
      </c>
      <c r="O5" s="17" t="s">
        <v>894</v>
      </c>
      <c r="P5" s="17" t="s">
        <v>895</v>
      </c>
      <c r="Q5" s="17" t="s">
        <v>896</v>
      </c>
      <c r="R5" s="17" t="s">
        <v>897</v>
      </c>
      <c r="S5" s="17" t="s">
        <v>898</v>
      </c>
      <c r="T5" s="5" t="s">
        <v>899</v>
      </c>
      <c r="U5" s="5" t="s">
        <v>900</v>
      </c>
      <c r="V5" s="5" t="s">
        <v>901</v>
      </c>
      <c r="W5" s="5" t="s">
        <v>902</v>
      </c>
      <c r="X5" s="17" t="s">
        <v>903</v>
      </c>
      <c r="Y5" s="5" t="s">
        <v>904</v>
      </c>
      <c r="Z5" s="5" t="s">
        <v>803</v>
      </c>
      <c r="AA5" s="5" t="s">
        <v>905</v>
      </c>
      <c r="AB5" s="17" t="s">
        <v>906</v>
      </c>
      <c r="AC5" s="17" t="s">
        <v>907</v>
      </c>
      <c r="AD5" s="17" t="s">
        <v>908</v>
      </c>
      <c r="AE5" s="17" t="s">
        <v>909</v>
      </c>
      <c r="AF5" s="17" t="s">
        <v>910</v>
      </c>
      <c r="AG5" s="17" t="s">
        <v>911</v>
      </c>
      <c r="AH5" s="17" t="s">
        <v>912</v>
      </c>
      <c r="AI5" s="5" t="s">
        <v>913</v>
      </c>
      <c r="AJ5" s="5" t="s">
        <v>914</v>
      </c>
      <c r="AK5" s="5" t="s">
        <v>58</v>
      </c>
      <c r="AL5" s="5" t="s">
        <v>59</v>
      </c>
      <c r="AM5" s="5">
        <v>1</v>
      </c>
      <c r="AN5" s="18">
        <v>46297</v>
      </c>
    </row>
    <row r="6" ht="52" customHeight="1" spans="1:40">
      <c r="A6" s="5" t="s">
        <v>174</v>
      </c>
      <c r="B6" s="8" t="s">
        <v>175</v>
      </c>
      <c r="C6" s="5" t="s">
        <v>915</v>
      </c>
      <c r="D6" s="17" t="s">
        <v>916</v>
      </c>
      <c r="E6" s="17" t="s">
        <v>917</v>
      </c>
      <c r="F6" s="5" t="s">
        <v>886</v>
      </c>
      <c r="G6" s="17" t="s">
        <v>918</v>
      </c>
      <c r="H6" s="17" t="s">
        <v>919</v>
      </c>
      <c r="I6" s="5" t="s">
        <v>888</v>
      </c>
      <c r="J6" s="5" t="s">
        <v>889</v>
      </c>
      <c r="K6" s="17" t="s">
        <v>920</v>
      </c>
      <c r="L6" s="17" t="s">
        <v>921</v>
      </c>
      <c r="M6" s="17" t="s">
        <v>922</v>
      </c>
      <c r="N6" s="17" t="s">
        <v>893</v>
      </c>
      <c r="O6" s="17" t="s">
        <v>894</v>
      </c>
      <c r="P6" s="17" t="s">
        <v>895</v>
      </c>
      <c r="Q6" s="17" t="s">
        <v>923</v>
      </c>
      <c r="R6" s="17" t="s">
        <v>897</v>
      </c>
      <c r="S6" s="17" t="s">
        <v>924</v>
      </c>
      <c r="T6" s="5" t="s">
        <v>899</v>
      </c>
      <c r="U6" s="5" t="s">
        <v>925</v>
      </c>
      <c r="V6" s="5" t="s">
        <v>901</v>
      </c>
      <c r="W6" s="5" t="s">
        <v>902</v>
      </c>
      <c r="X6" s="17" t="s">
        <v>926</v>
      </c>
      <c r="Y6" s="5" t="s">
        <v>904</v>
      </c>
      <c r="Z6" s="5" t="s">
        <v>803</v>
      </c>
      <c r="AA6" s="5" t="s">
        <v>927</v>
      </c>
      <c r="AB6" s="17" t="s">
        <v>906</v>
      </c>
      <c r="AC6" s="17" t="s">
        <v>928</v>
      </c>
      <c r="AD6" s="17" t="s">
        <v>908</v>
      </c>
      <c r="AE6" s="17" t="s">
        <v>909</v>
      </c>
      <c r="AF6" s="17" t="s">
        <v>910</v>
      </c>
      <c r="AG6" s="17" t="s">
        <v>911</v>
      </c>
      <c r="AH6" s="5" t="s">
        <v>912</v>
      </c>
      <c r="AI6" s="5" t="s">
        <v>913</v>
      </c>
      <c r="AJ6" s="5" t="s">
        <v>914</v>
      </c>
      <c r="AK6" s="5" t="s">
        <v>58</v>
      </c>
      <c r="AL6" s="5" t="s">
        <v>59</v>
      </c>
      <c r="AM6" s="5">
        <v>2</v>
      </c>
      <c r="AN6" s="18">
        <v>46297</v>
      </c>
    </row>
    <row r="7" ht="52" customHeight="1" spans="1:40">
      <c r="A7" s="5" t="s">
        <v>280</v>
      </c>
      <c r="B7" s="8" t="s">
        <v>281</v>
      </c>
      <c r="C7" s="5" t="s">
        <v>929</v>
      </c>
      <c r="D7" s="17" t="s">
        <v>930</v>
      </c>
      <c r="E7" s="17" t="s">
        <v>931</v>
      </c>
      <c r="F7" s="5" t="s">
        <v>886</v>
      </c>
      <c r="G7" s="17" t="s">
        <v>932</v>
      </c>
      <c r="H7" s="17" t="s">
        <v>933</v>
      </c>
      <c r="I7" s="5" t="s">
        <v>888</v>
      </c>
      <c r="J7" s="5" t="s">
        <v>889</v>
      </c>
      <c r="K7" s="17" t="s">
        <v>934</v>
      </c>
      <c r="L7" s="17" t="s">
        <v>935</v>
      </c>
      <c r="M7" s="17" t="s">
        <v>936</v>
      </c>
      <c r="N7" s="17" t="s">
        <v>893</v>
      </c>
      <c r="O7" s="17" t="s">
        <v>894</v>
      </c>
      <c r="P7" s="17" t="s">
        <v>895</v>
      </c>
      <c r="Q7" s="17" t="s">
        <v>937</v>
      </c>
      <c r="R7" s="17" t="s">
        <v>938</v>
      </c>
      <c r="S7" s="17" t="s">
        <v>939</v>
      </c>
      <c r="T7" s="5" t="s">
        <v>899</v>
      </c>
      <c r="U7" s="5" t="s">
        <v>940</v>
      </c>
      <c r="V7" s="5" t="s">
        <v>901</v>
      </c>
      <c r="W7" s="5" t="s">
        <v>902</v>
      </c>
      <c r="X7" s="17" t="s">
        <v>941</v>
      </c>
      <c r="Y7" s="5" t="s">
        <v>904</v>
      </c>
      <c r="Z7" s="5" t="s">
        <v>803</v>
      </c>
      <c r="AA7" s="5" t="s">
        <v>942</v>
      </c>
      <c r="AB7" s="17" t="s">
        <v>906</v>
      </c>
      <c r="AC7" s="17" t="s">
        <v>943</v>
      </c>
      <c r="AD7" s="17" t="s">
        <v>908</v>
      </c>
      <c r="AE7" s="17" t="s">
        <v>909</v>
      </c>
      <c r="AF7" s="17" t="s">
        <v>910</v>
      </c>
      <c r="AG7" s="17" t="s">
        <v>911</v>
      </c>
      <c r="AH7" s="5" t="s">
        <v>912</v>
      </c>
      <c r="AI7" s="5" t="s">
        <v>913</v>
      </c>
      <c r="AJ7" s="5" t="s">
        <v>914</v>
      </c>
      <c r="AK7" s="5" t="s">
        <v>58</v>
      </c>
      <c r="AL7" s="5" t="s">
        <v>59</v>
      </c>
      <c r="AM7" s="5">
        <v>3</v>
      </c>
      <c r="AN7" s="18">
        <v>46297</v>
      </c>
    </row>
    <row r="8" ht="52" customHeight="1" spans="1:40">
      <c r="A8" s="5" t="s">
        <v>385</v>
      </c>
      <c r="B8" s="8" t="s">
        <v>386</v>
      </c>
      <c r="C8" s="5" t="s">
        <v>944</v>
      </c>
      <c r="D8" s="17" t="s">
        <v>945</v>
      </c>
      <c r="E8" s="17" t="s">
        <v>946</v>
      </c>
      <c r="F8" s="5" t="s">
        <v>886</v>
      </c>
      <c r="G8" s="17" t="s">
        <v>947</v>
      </c>
      <c r="H8" s="17" t="s">
        <v>948</v>
      </c>
      <c r="I8" s="5" t="s">
        <v>888</v>
      </c>
      <c r="J8" s="5" t="s">
        <v>889</v>
      </c>
      <c r="K8" s="17" t="s">
        <v>949</v>
      </c>
      <c r="L8" s="17" t="s">
        <v>950</v>
      </c>
      <c r="M8" s="17" t="s">
        <v>951</v>
      </c>
      <c r="N8" s="17" t="s">
        <v>893</v>
      </c>
      <c r="O8" s="17" t="s">
        <v>894</v>
      </c>
      <c r="P8" s="17" t="s">
        <v>895</v>
      </c>
      <c r="Q8" s="17" t="s">
        <v>952</v>
      </c>
      <c r="R8" s="17" t="s">
        <v>897</v>
      </c>
      <c r="S8" s="17" t="s">
        <v>939</v>
      </c>
      <c r="T8" s="5" t="s">
        <v>899</v>
      </c>
      <c r="U8" s="5" t="s">
        <v>953</v>
      </c>
      <c r="V8" s="5" t="s">
        <v>901</v>
      </c>
      <c r="W8" s="5" t="s">
        <v>902</v>
      </c>
      <c r="X8" s="17" t="s">
        <v>954</v>
      </c>
      <c r="Y8" s="5" t="s">
        <v>904</v>
      </c>
      <c r="Z8" s="5" t="s">
        <v>803</v>
      </c>
      <c r="AA8" s="5" t="s">
        <v>955</v>
      </c>
      <c r="AB8" s="17" t="s">
        <v>906</v>
      </c>
      <c r="AC8" s="17" t="s">
        <v>956</v>
      </c>
      <c r="AD8" s="17" t="s">
        <v>908</v>
      </c>
      <c r="AE8" s="17" t="s">
        <v>909</v>
      </c>
      <c r="AF8" s="17" t="s">
        <v>910</v>
      </c>
      <c r="AG8" s="17" t="s">
        <v>911</v>
      </c>
      <c r="AH8" s="5" t="s">
        <v>912</v>
      </c>
      <c r="AI8" s="5" t="s">
        <v>913</v>
      </c>
      <c r="AJ8" s="5" t="s">
        <v>914</v>
      </c>
      <c r="AK8" s="5" t="s">
        <v>58</v>
      </c>
      <c r="AL8" s="5" t="s">
        <v>59</v>
      </c>
      <c r="AM8" s="5">
        <v>4</v>
      </c>
      <c r="AN8" s="18">
        <v>46297</v>
      </c>
    </row>
    <row r="9" ht="52" customHeight="1" spans="1:40">
      <c r="A9" s="17" t="s">
        <v>493</v>
      </c>
      <c r="B9" s="8" t="s">
        <v>494</v>
      </c>
      <c r="C9" s="5" t="s">
        <v>957</v>
      </c>
      <c r="D9" s="17" t="s">
        <v>958</v>
      </c>
      <c r="E9" s="17" t="s">
        <v>959</v>
      </c>
      <c r="F9" s="5" t="s">
        <v>886</v>
      </c>
      <c r="G9" s="17" t="s">
        <v>960</v>
      </c>
      <c r="H9" s="17" t="s">
        <v>961</v>
      </c>
      <c r="I9" s="5" t="s">
        <v>888</v>
      </c>
      <c r="J9" s="5" t="s">
        <v>889</v>
      </c>
      <c r="K9" s="17" t="s">
        <v>962</v>
      </c>
      <c r="L9" s="17" t="s">
        <v>963</v>
      </c>
      <c r="M9" s="17" t="s">
        <v>964</v>
      </c>
      <c r="N9" s="17" t="s">
        <v>893</v>
      </c>
      <c r="O9" s="17" t="s">
        <v>894</v>
      </c>
      <c r="P9" s="17" t="s">
        <v>895</v>
      </c>
      <c r="Q9" s="17" t="s">
        <v>965</v>
      </c>
      <c r="R9" s="17" t="s">
        <v>897</v>
      </c>
      <c r="S9" s="17" t="s">
        <v>924</v>
      </c>
      <c r="T9" s="5" t="s">
        <v>899</v>
      </c>
      <c r="U9" s="5" t="s">
        <v>966</v>
      </c>
      <c r="V9" s="5" t="s">
        <v>901</v>
      </c>
      <c r="W9" s="5" t="s">
        <v>902</v>
      </c>
      <c r="X9" s="17" t="s">
        <v>967</v>
      </c>
      <c r="Y9" s="5" t="s">
        <v>904</v>
      </c>
      <c r="Z9" s="5" t="s">
        <v>803</v>
      </c>
      <c r="AA9" s="5" t="s">
        <v>968</v>
      </c>
      <c r="AB9" s="17" t="s">
        <v>906</v>
      </c>
      <c r="AC9" s="17" t="s">
        <v>969</v>
      </c>
      <c r="AD9" s="17" t="s">
        <v>908</v>
      </c>
      <c r="AE9" s="17" t="s">
        <v>909</v>
      </c>
      <c r="AF9" s="17" t="s">
        <v>910</v>
      </c>
      <c r="AG9" s="17" t="s">
        <v>911</v>
      </c>
      <c r="AH9" s="5" t="s">
        <v>912</v>
      </c>
      <c r="AI9" s="5" t="s">
        <v>913</v>
      </c>
      <c r="AJ9" s="5" t="s">
        <v>914</v>
      </c>
      <c r="AK9" s="5" t="s">
        <v>58</v>
      </c>
      <c r="AL9" s="5" t="s">
        <v>59</v>
      </c>
      <c r="AM9" s="5">
        <v>5</v>
      </c>
      <c r="AN9" s="18">
        <v>46297</v>
      </c>
    </row>
    <row r="10" ht="52" customHeight="1" spans="1:40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18"/>
    </row>
    <row r="11" ht="52" customHeight="1" spans="1:40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18"/>
    </row>
    <row r="12" ht="52" customHeight="1" spans="1:40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18"/>
    </row>
    <row r="13" ht="52" customHeight="1" spans="1:40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18"/>
    </row>
    <row r="14" ht="52" customHeight="1" spans="1:40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18"/>
    </row>
    <row r="15" ht="52" customHeight="1" spans="1:40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18"/>
    </row>
    <row r="16" ht="52" customHeight="1" spans="1:40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18"/>
    </row>
    <row r="17" ht="52" customHeight="1" spans="1:40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18"/>
    </row>
    <row r="18" ht="52" customHeight="1" spans="1:40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18"/>
    </row>
    <row r="19" ht="52" customHeight="1" spans="1:40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18"/>
    </row>
    <row r="20" ht="52" customHeight="1" spans="1:4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18"/>
    </row>
    <row r="21" ht="52" customHeight="1" spans="1:40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18"/>
    </row>
    <row r="22" ht="52" customHeight="1" spans="1:40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18"/>
    </row>
    <row r="23" ht="52" customHeight="1" spans="1:40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18"/>
    </row>
    <row r="24" ht="52" customHeight="1" spans="1:40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18"/>
    </row>
    <row r="25" ht="52" customHeight="1" spans="1:40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18"/>
    </row>
    <row r="26" ht="52" customHeight="1" spans="1:40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18"/>
    </row>
    <row r="27" ht="52" customHeight="1" spans="1:40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18"/>
    </row>
    <row r="28" ht="52" customHeight="1" spans="1:40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18"/>
    </row>
    <row r="29" ht="52" customHeight="1" spans="1:40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18"/>
    </row>
  </sheetData>
  <mergeCells count="2">
    <mergeCell ref="A1:AN1"/>
    <mergeCell ref="A2:AN2"/>
  </mergeCells>
  <dataValidations count="3">
    <dataValidation type="list" sqref="AK5:AK29">
      <formula1>"草稿,已发布,已下线"</formula1>
    </dataValidation>
    <dataValidation type="list" sqref="AL5:AL29">
      <formula1>"是,否"</formula1>
    </dataValidation>
    <dataValidation type="whole" operator="between" sqref="AM5:AM29">
      <formula1>1</formula1>
      <formula2>9999</formula2>
    </dataValidation>
  </dataValidations>
  <pageMargins left="0.7" right="0.7" top="0.75" bottom="0.75" header="0.3" footer="0.3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C89A45"/>
  </sheetPr>
  <dimension ref="A1:F117"/>
  <sheetViews>
    <sheetView showGridLines="0" workbookViewId="0">
      <pane xSplit="4" ySplit="4" topLeftCell="E89" activePane="bottomRight" state="frozen"/>
      <selection/>
      <selection pane="topRight"/>
      <selection pane="bottomLeft"/>
      <selection pane="bottomRight" activeCell="E16" sqref="E16"/>
    </sheetView>
  </sheetViews>
  <sheetFormatPr defaultColWidth="9" defaultRowHeight="14.25" outlineLevelCol="5"/>
  <cols>
    <col min="1" max="2" width="16" style="1" customWidth="1"/>
    <col min="3" max="3" width="28" style="1" customWidth="1"/>
    <col min="4" max="4" width="25" style="1" customWidth="1"/>
    <col min="5" max="5" width="96" style="1" customWidth="1"/>
    <col min="6" max="6" width="34" style="1" customWidth="1"/>
  </cols>
  <sheetData>
    <row r="1" ht="34" customHeight="1" spans="1:6">
      <c r="A1" s="2" t="s">
        <v>970</v>
      </c>
      <c r="B1" s="2"/>
      <c r="C1" s="2"/>
      <c r="D1" s="2"/>
      <c r="E1" s="2"/>
      <c r="F1" s="2"/>
    </row>
    <row r="2" ht="24" customHeight="1" spans="1:6">
      <c r="A2" s="9" t="s">
        <v>971</v>
      </c>
      <c r="B2" s="9"/>
      <c r="C2" s="9"/>
      <c r="D2" s="9"/>
      <c r="E2" s="9"/>
      <c r="F2" s="9"/>
    </row>
    <row r="3" ht="8" customHeight="1" spans="1:6">
      <c r="A3" s="10"/>
      <c r="B3" s="10"/>
      <c r="C3" s="10"/>
      <c r="D3" s="10"/>
      <c r="E3" s="10"/>
      <c r="F3" s="10"/>
    </row>
    <row r="4" ht="34" customHeight="1" spans="1:6">
      <c r="A4" s="11" t="s">
        <v>972</v>
      </c>
      <c r="B4" s="11" t="s">
        <v>973</v>
      </c>
      <c r="C4" s="11" t="s">
        <v>601</v>
      </c>
      <c r="D4" s="11" t="s">
        <v>602</v>
      </c>
      <c r="E4" s="11" t="s">
        <v>603</v>
      </c>
      <c r="F4" s="11" t="s">
        <v>604</v>
      </c>
    </row>
    <row r="5" ht="48" customHeight="1" spans="1:6">
      <c r="A5" s="12" t="s">
        <v>632</v>
      </c>
      <c r="B5" s="12" t="s">
        <v>974</v>
      </c>
      <c r="C5" s="12" t="s">
        <v>975</v>
      </c>
      <c r="D5" s="12" t="s">
        <v>6</v>
      </c>
      <c r="E5" s="13" t="s">
        <v>632</v>
      </c>
      <c r="F5" s="14" t="s">
        <v>976</v>
      </c>
    </row>
    <row r="6" ht="48" customHeight="1" spans="1:6">
      <c r="A6" s="12" t="s">
        <v>632</v>
      </c>
      <c r="B6" s="12" t="s">
        <v>974</v>
      </c>
      <c r="C6" s="12" t="s">
        <v>637</v>
      </c>
      <c r="D6" s="12" t="s">
        <v>7</v>
      </c>
      <c r="E6" s="13" t="s">
        <v>977</v>
      </c>
      <c r="F6" s="14" t="s">
        <v>978</v>
      </c>
    </row>
    <row r="7" ht="48" customHeight="1" spans="1:6">
      <c r="A7" s="12" t="s">
        <v>632</v>
      </c>
      <c r="B7" s="12" t="s">
        <v>974</v>
      </c>
      <c r="C7" s="12" t="s">
        <v>640</v>
      </c>
      <c r="D7" s="12" t="s">
        <v>8</v>
      </c>
      <c r="E7" s="13" t="s">
        <v>979</v>
      </c>
      <c r="F7" s="14" t="s">
        <v>978</v>
      </c>
    </row>
    <row r="8" ht="48" customHeight="1" spans="1:6">
      <c r="A8" s="12" t="s">
        <v>632</v>
      </c>
      <c r="B8" s="12" t="s">
        <v>974</v>
      </c>
      <c r="C8" s="12" t="s">
        <v>653</v>
      </c>
      <c r="D8" s="12" t="s">
        <v>654</v>
      </c>
      <c r="E8" s="13" t="s">
        <v>980</v>
      </c>
      <c r="F8" s="14" t="s">
        <v>978</v>
      </c>
    </row>
    <row r="9" ht="48" customHeight="1" spans="1:6">
      <c r="A9" s="12" t="s">
        <v>632</v>
      </c>
      <c r="B9" s="12" t="s">
        <v>974</v>
      </c>
      <c r="C9" s="12" t="s">
        <v>981</v>
      </c>
      <c r="D9" s="12" t="s">
        <v>859</v>
      </c>
      <c r="E9" s="13" t="s">
        <v>982</v>
      </c>
      <c r="F9" s="14" t="s">
        <v>978</v>
      </c>
    </row>
    <row r="10" ht="48" customHeight="1" spans="1:6">
      <c r="A10" s="12" t="s">
        <v>632</v>
      </c>
      <c r="B10" s="12" t="s">
        <v>974</v>
      </c>
      <c r="C10" s="12" t="s">
        <v>665</v>
      </c>
      <c r="D10" s="12" t="s">
        <v>983</v>
      </c>
      <c r="E10" s="13" t="s">
        <v>984</v>
      </c>
      <c r="F10" s="14" t="s">
        <v>978</v>
      </c>
    </row>
    <row r="11" ht="48" customHeight="1" spans="1:6">
      <c r="A11" s="12" t="s">
        <v>632</v>
      </c>
      <c r="B11" s="12" t="s">
        <v>974</v>
      </c>
      <c r="C11" s="12" t="s">
        <v>985</v>
      </c>
      <c r="D11" s="12" t="s">
        <v>986</v>
      </c>
      <c r="E11" s="13" t="s">
        <v>987</v>
      </c>
      <c r="F11" s="14" t="s">
        <v>978</v>
      </c>
    </row>
    <row r="12" ht="48" customHeight="1" spans="1:6">
      <c r="A12" s="12" t="s">
        <v>632</v>
      </c>
      <c r="B12" s="12" t="s">
        <v>974</v>
      </c>
      <c r="C12" s="12" t="s">
        <v>988</v>
      </c>
      <c r="D12" s="12" t="s">
        <v>989</v>
      </c>
      <c r="E12" s="13" t="s">
        <v>982</v>
      </c>
      <c r="F12" s="14" t="s">
        <v>978</v>
      </c>
    </row>
    <row r="13" ht="48" customHeight="1" spans="1:6">
      <c r="A13" s="12" t="s">
        <v>632</v>
      </c>
      <c r="B13" s="12" t="s">
        <v>974</v>
      </c>
      <c r="C13" s="12" t="s">
        <v>990</v>
      </c>
      <c r="D13" s="12" t="s">
        <v>991</v>
      </c>
      <c r="E13" s="13" t="s">
        <v>685</v>
      </c>
      <c r="F13" s="14" t="s">
        <v>978</v>
      </c>
    </row>
    <row r="14" ht="48" customHeight="1" spans="1:6">
      <c r="A14" s="12" t="s">
        <v>632</v>
      </c>
      <c r="B14" s="12" t="s">
        <v>974</v>
      </c>
      <c r="C14" s="12" t="s">
        <v>992</v>
      </c>
      <c r="D14" s="12" t="s">
        <v>993</v>
      </c>
      <c r="E14" s="13" t="s">
        <v>994</v>
      </c>
      <c r="F14" s="14" t="s">
        <v>978</v>
      </c>
    </row>
    <row r="15" ht="48" customHeight="1" spans="1:6">
      <c r="A15" s="12" t="s">
        <v>632</v>
      </c>
      <c r="B15" s="12" t="s">
        <v>974</v>
      </c>
      <c r="C15" s="12" t="s">
        <v>995</v>
      </c>
      <c r="D15" s="12" t="s">
        <v>996</v>
      </c>
      <c r="E15" s="13" t="s">
        <v>997</v>
      </c>
      <c r="F15" s="14" t="s">
        <v>978</v>
      </c>
    </row>
    <row r="16" ht="48" customHeight="1" spans="1:6">
      <c r="A16" s="12" t="s">
        <v>632</v>
      </c>
      <c r="B16" s="12" t="s">
        <v>974</v>
      </c>
      <c r="C16" s="12" t="s">
        <v>998</v>
      </c>
      <c r="D16" s="12" t="s">
        <v>999</v>
      </c>
      <c r="E16" s="13" t="s">
        <v>1000</v>
      </c>
      <c r="F16" s="14" t="s">
        <v>978</v>
      </c>
    </row>
    <row r="17" ht="48" customHeight="1" spans="1:6">
      <c r="A17" s="12" t="s">
        <v>632</v>
      </c>
      <c r="B17" s="12" t="s">
        <v>974</v>
      </c>
      <c r="C17" s="12" t="s">
        <v>1001</v>
      </c>
      <c r="D17" s="12" t="s">
        <v>1002</v>
      </c>
      <c r="E17" s="13" t="s">
        <v>1003</v>
      </c>
      <c r="F17" s="14" t="s">
        <v>978</v>
      </c>
    </row>
    <row r="18" ht="48" customHeight="1" spans="1:6">
      <c r="A18" s="12" t="s">
        <v>632</v>
      </c>
      <c r="B18" s="12" t="s">
        <v>974</v>
      </c>
      <c r="C18" s="12" t="s">
        <v>1004</v>
      </c>
      <c r="D18" s="12" t="s">
        <v>1005</v>
      </c>
      <c r="E18" s="13" t="s">
        <v>1006</v>
      </c>
      <c r="F18" s="14" t="s">
        <v>978</v>
      </c>
    </row>
    <row r="19" ht="48" customHeight="1" spans="1:6">
      <c r="A19" s="12" t="s">
        <v>632</v>
      </c>
      <c r="B19" s="12" t="s">
        <v>974</v>
      </c>
      <c r="C19" s="12" t="s">
        <v>1007</v>
      </c>
      <c r="D19" s="12" t="s">
        <v>1008</v>
      </c>
      <c r="E19" s="13" t="s">
        <v>1009</v>
      </c>
      <c r="F19" s="14" t="s">
        <v>978</v>
      </c>
    </row>
    <row r="20" ht="48" customHeight="1" spans="1:6">
      <c r="A20" s="12" t="s">
        <v>632</v>
      </c>
      <c r="B20" s="12" t="s">
        <v>974</v>
      </c>
      <c r="C20" s="12" t="s">
        <v>1010</v>
      </c>
      <c r="D20" s="12" t="s">
        <v>1011</v>
      </c>
      <c r="E20" s="13" t="s">
        <v>1012</v>
      </c>
      <c r="F20" s="14" t="s">
        <v>978</v>
      </c>
    </row>
    <row r="21" ht="48" customHeight="1" spans="1:6">
      <c r="A21" s="12" t="s">
        <v>632</v>
      </c>
      <c r="B21" s="12" t="s">
        <v>974</v>
      </c>
      <c r="C21" s="12" t="s">
        <v>1013</v>
      </c>
      <c r="D21" s="12" t="s">
        <v>1014</v>
      </c>
      <c r="E21" s="13" t="s">
        <v>1015</v>
      </c>
      <c r="F21" s="14" t="s">
        <v>978</v>
      </c>
    </row>
    <row r="22" ht="48" customHeight="1" spans="1:6">
      <c r="A22" s="12" t="s">
        <v>632</v>
      </c>
      <c r="B22" s="12" t="s">
        <v>974</v>
      </c>
      <c r="C22" s="12" t="s">
        <v>1016</v>
      </c>
      <c r="D22" s="12" t="s">
        <v>1017</v>
      </c>
      <c r="E22" s="13" t="s">
        <v>1018</v>
      </c>
      <c r="F22" s="14" t="s">
        <v>978</v>
      </c>
    </row>
    <row r="23" ht="48" customHeight="1" spans="1:6">
      <c r="A23" s="12" t="s">
        <v>632</v>
      </c>
      <c r="B23" s="12" t="s">
        <v>974</v>
      </c>
      <c r="C23" s="12" t="s">
        <v>1019</v>
      </c>
      <c r="D23" s="12" t="s">
        <v>1020</v>
      </c>
      <c r="E23" s="13" t="s">
        <v>1021</v>
      </c>
      <c r="F23" s="14" t="s">
        <v>978</v>
      </c>
    </row>
    <row r="24" ht="48" customHeight="1" spans="1:6">
      <c r="A24" s="12" t="s">
        <v>632</v>
      </c>
      <c r="B24" s="12" t="s">
        <v>974</v>
      </c>
      <c r="C24" s="12" t="s">
        <v>1022</v>
      </c>
      <c r="D24" s="12" t="s">
        <v>1023</v>
      </c>
      <c r="E24" s="13" t="s">
        <v>1024</v>
      </c>
      <c r="F24" s="14" t="s">
        <v>978</v>
      </c>
    </row>
    <row r="25" ht="48" customHeight="1" spans="1:6">
      <c r="A25" s="12" t="s">
        <v>632</v>
      </c>
      <c r="B25" s="12" t="s">
        <v>974</v>
      </c>
      <c r="C25" s="12" t="s">
        <v>1025</v>
      </c>
      <c r="D25" s="12" t="s">
        <v>1026</v>
      </c>
      <c r="E25" s="13" t="s">
        <v>1027</v>
      </c>
      <c r="F25" s="14" t="s">
        <v>978</v>
      </c>
    </row>
    <row r="26" ht="48" customHeight="1" spans="1:6">
      <c r="A26" s="12" t="s">
        <v>632</v>
      </c>
      <c r="B26" s="12" t="s">
        <v>974</v>
      </c>
      <c r="C26" s="12" t="s">
        <v>1028</v>
      </c>
      <c r="D26" s="12" t="s">
        <v>1029</v>
      </c>
      <c r="E26" s="13" t="s">
        <v>1030</v>
      </c>
      <c r="F26" s="14" t="s">
        <v>978</v>
      </c>
    </row>
    <row r="27" ht="48" customHeight="1" spans="1:6">
      <c r="A27" s="12" t="s">
        <v>632</v>
      </c>
      <c r="B27" s="12" t="s">
        <v>974</v>
      </c>
      <c r="C27" s="12" t="s">
        <v>1031</v>
      </c>
      <c r="D27" s="12" t="s">
        <v>1032</v>
      </c>
      <c r="E27" s="13" t="s">
        <v>730</v>
      </c>
      <c r="F27" s="14" t="s">
        <v>978</v>
      </c>
    </row>
    <row r="28" ht="48" customHeight="1" spans="1:6">
      <c r="A28" s="12" t="s">
        <v>632</v>
      </c>
      <c r="B28" s="12" t="s">
        <v>974</v>
      </c>
      <c r="C28" s="12" t="s">
        <v>1033</v>
      </c>
      <c r="D28" s="12" t="s">
        <v>1034</v>
      </c>
      <c r="E28" s="13" t="s">
        <v>1035</v>
      </c>
      <c r="F28" s="14" t="s">
        <v>978</v>
      </c>
    </row>
    <row r="29" ht="48" customHeight="1" spans="1:6">
      <c r="A29" s="12" t="s">
        <v>632</v>
      </c>
      <c r="B29" s="12" t="s">
        <v>974</v>
      </c>
      <c r="C29" s="12" t="s">
        <v>1036</v>
      </c>
      <c r="D29" s="12" t="s">
        <v>1037</v>
      </c>
      <c r="E29" s="13" t="s">
        <v>1038</v>
      </c>
      <c r="F29" s="14" t="s">
        <v>978</v>
      </c>
    </row>
    <row r="30" ht="48" customHeight="1" spans="1:6">
      <c r="A30" s="12" t="s">
        <v>635</v>
      </c>
      <c r="B30" s="12" t="s">
        <v>1039</v>
      </c>
      <c r="C30" s="12" t="s">
        <v>975</v>
      </c>
      <c r="D30" s="12" t="s">
        <v>6</v>
      </c>
      <c r="E30" s="13" t="s">
        <v>635</v>
      </c>
      <c r="F30" s="14" t="s">
        <v>976</v>
      </c>
    </row>
    <row r="31" ht="48" customHeight="1" spans="1:6">
      <c r="A31" s="12" t="s">
        <v>635</v>
      </c>
      <c r="B31" s="12" t="s">
        <v>1039</v>
      </c>
      <c r="C31" s="12" t="s">
        <v>637</v>
      </c>
      <c r="D31" s="12" t="s">
        <v>7</v>
      </c>
      <c r="E31" s="13" t="s">
        <v>1040</v>
      </c>
      <c r="F31" s="14" t="s">
        <v>978</v>
      </c>
    </row>
    <row r="32" ht="48" customHeight="1" spans="1:6">
      <c r="A32" s="12" t="s">
        <v>635</v>
      </c>
      <c r="B32" s="12" t="s">
        <v>1039</v>
      </c>
      <c r="C32" s="12" t="s">
        <v>640</v>
      </c>
      <c r="D32" s="12" t="s">
        <v>8</v>
      </c>
      <c r="E32" s="13" t="s">
        <v>1041</v>
      </c>
      <c r="F32" s="14" t="s">
        <v>978</v>
      </c>
    </row>
    <row r="33" ht="48" customHeight="1" spans="1:6">
      <c r="A33" s="12" t="s">
        <v>635</v>
      </c>
      <c r="B33" s="12" t="s">
        <v>1039</v>
      </c>
      <c r="C33" s="12" t="s">
        <v>653</v>
      </c>
      <c r="D33" s="12" t="s">
        <v>654</v>
      </c>
      <c r="E33" s="13" t="s">
        <v>1042</v>
      </c>
      <c r="F33" s="14" t="s">
        <v>978</v>
      </c>
    </row>
    <row r="34" ht="48" customHeight="1" spans="1:6">
      <c r="A34" s="12" t="s">
        <v>635</v>
      </c>
      <c r="B34" s="12" t="s">
        <v>1039</v>
      </c>
      <c r="C34" s="12" t="s">
        <v>981</v>
      </c>
      <c r="D34" s="12" t="s">
        <v>859</v>
      </c>
      <c r="E34" s="13" t="s">
        <v>1043</v>
      </c>
      <c r="F34" s="14" t="s">
        <v>978</v>
      </c>
    </row>
    <row r="35" ht="48" customHeight="1" spans="1:6">
      <c r="A35" s="12" t="s">
        <v>635</v>
      </c>
      <c r="B35" s="12" t="s">
        <v>1039</v>
      </c>
      <c r="C35" s="12" t="s">
        <v>665</v>
      </c>
      <c r="D35" s="12" t="s">
        <v>983</v>
      </c>
      <c r="E35" s="13" t="s">
        <v>1041</v>
      </c>
      <c r="F35" s="14" t="s">
        <v>978</v>
      </c>
    </row>
    <row r="36" ht="48" customHeight="1" spans="1:6">
      <c r="A36" s="12" t="s">
        <v>635</v>
      </c>
      <c r="B36" s="12" t="s">
        <v>1039</v>
      </c>
      <c r="C36" s="12" t="s">
        <v>1044</v>
      </c>
      <c r="D36" s="12" t="s">
        <v>1045</v>
      </c>
      <c r="E36" s="13" t="s">
        <v>1046</v>
      </c>
      <c r="F36" s="14" t="s">
        <v>978</v>
      </c>
    </row>
    <row r="37" ht="48" customHeight="1" spans="1:6">
      <c r="A37" s="12" t="s">
        <v>635</v>
      </c>
      <c r="B37" s="12" t="s">
        <v>1039</v>
      </c>
      <c r="C37" s="12" t="s">
        <v>1047</v>
      </c>
      <c r="D37" s="12" t="s">
        <v>1048</v>
      </c>
      <c r="E37" s="13" t="s">
        <v>1049</v>
      </c>
      <c r="F37" s="14" t="s">
        <v>978</v>
      </c>
    </row>
    <row r="38" ht="48" customHeight="1" spans="1:6">
      <c r="A38" s="12" t="s">
        <v>635</v>
      </c>
      <c r="B38" s="12" t="s">
        <v>1039</v>
      </c>
      <c r="C38" s="12" t="s">
        <v>1050</v>
      </c>
      <c r="D38" s="12" t="s">
        <v>1051</v>
      </c>
      <c r="E38" s="13" t="s">
        <v>1052</v>
      </c>
      <c r="F38" s="14" t="s">
        <v>978</v>
      </c>
    </row>
    <row r="39" ht="48" customHeight="1" spans="1:6">
      <c r="A39" s="12" t="s">
        <v>635</v>
      </c>
      <c r="B39" s="12" t="s">
        <v>1039</v>
      </c>
      <c r="C39" s="12" t="s">
        <v>1053</v>
      </c>
      <c r="D39" s="12" t="s">
        <v>1054</v>
      </c>
      <c r="E39" s="13" t="s">
        <v>1055</v>
      </c>
      <c r="F39" s="14" t="s">
        <v>978</v>
      </c>
    </row>
    <row r="40" ht="48" customHeight="1" spans="1:6">
      <c r="A40" s="12" t="s">
        <v>635</v>
      </c>
      <c r="B40" s="12" t="s">
        <v>1039</v>
      </c>
      <c r="C40" s="12" t="s">
        <v>1056</v>
      </c>
      <c r="D40" s="12" t="s">
        <v>1057</v>
      </c>
      <c r="E40" s="13" t="s">
        <v>1058</v>
      </c>
      <c r="F40" s="14" t="s">
        <v>978</v>
      </c>
    </row>
    <row r="41" ht="48" customHeight="1" spans="1:6">
      <c r="A41" s="12" t="s">
        <v>635</v>
      </c>
      <c r="B41" s="12" t="s">
        <v>1039</v>
      </c>
      <c r="C41" s="12" t="s">
        <v>1059</v>
      </c>
      <c r="D41" s="12" t="s">
        <v>1060</v>
      </c>
      <c r="E41" s="13" t="s">
        <v>1061</v>
      </c>
      <c r="F41" s="14" t="s">
        <v>978</v>
      </c>
    </row>
    <row r="42" ht="48" customHeight="1" spans="1:6">
      <c r="A42" s="12" t="s">
        <v>635</v>
      </c>
      <c r="B42" s="12" t="s">
        <v>1039</v>
      </c>
      <c r="C42" s="12" t="s">
        <v>1062</v>
      </c>
      <c r="D42" s="12" t="s">
        <v>1063</v>
      </c>
      <c r="E42" s="13" t="s">
        <v>1064</v>
      </c>
      <c r="F42" s="14" t="s">
        <v>978</v>
      </c>
    </row>
    <row r="43" ht="48" customHeight="1" spans="1:6">
      <c r="A43" s="12" t="s">
        <v>635</v>
      </c>
      <c r="B43" s="12" t="s">
        <v>1039</v>
      </c>
      <c r="C43" s="12" t="s">
        <v>1065</v>
      </c>
      <c r="D43" s="12" t="s">
        <v>1066</v>
      </c>
      <c r="E43" s="13" t="s">
        <v>1067</v>
      </c>
      <c r="F43" s="14" t="s">
        <v>978</v>
      </c>
    </row>
    <row r="44" ht="48" customHeight="1" spans="1:6">
      <c r="A44" s="12" t="s">
        <v>635</v>
      </c>
      <c r="B44" s="12" t="s">
        <v>1039</v>
      </c>
      <c r="C44" s="12" t="s">
        <v>1068</v>
      </c>
      <c r="D44" s="12" t="s">
        <v>1069</v>
      </c>
      <c r="E44" s="13" t="s">
        <v>1070</v>
      </c>
      <c r="F44" s="14" t="s">
        <v>978</v>
      </c>
    </row>
    <row r="45" ht="48" customHeight="1" spans="1:6">
      <c r="A45" s="12" t="s">
        <v>635</v>
      </c>
      <c r="B45" s="12" t="s">
        <v>1039</v>
      </c>
      <c r="C45" s="12" t="s">
        <v>1071</v>
      </c>
      <c r="D45" s="12" t="s">
        <v>1072</v>
      </c>
      <c r="E45" s="13" t="s">
        <v>1073</v>
      </c>
      <c r="F45" s="14" t="s">
        <v>978</v>
      </c>
    </row>
    <row r="46" ht="48" customHeight="1" spans="1:6">
      <c r="A46" s="12" t="s">
        <v>635</v>
      </c>
      <c r="B46" s="12" t="s">
        <v>1039</v>
      </c>
      <c r="C46" s="12" t="s">
        <v>1074</v>
      </c>
      <c r="D46" s="12" t="s">
        <v>1075</v>
      </c>
      <c r="E46" s="13" t="s">
        <v>1046</v>
      </c>
      <c r="F46" s="14" t="s">
        <v>978</v>
      </c>
    </row>
    <row r="47" ht="48" customHeight="1" spans="1:6">
      <c r="A47" s="12" t="s">
        <v>1076</v>
      </c>
      <c r="B47" s="12" t="s">
        <v>1077</v>
      </c>
      <c r="C47" s="12" t="s">
        <v>975</v>
      </c>
      <c r="D47" s="12" t="s">
        <v>6</v>
      </c>
      <c r="E47" s="13" t="s">
        <v>1076</v>
      </c>
      <c r="F47" s="14" t="s">
        <v>976</v>
      </c>
    </row>
    <row r="48" ht="48" customHeight="1" spans="1:6">
      <c r="A48" s="12" t="s">
        <v>1076</v>
      </c>
      <c r="B48" s="12" t="s">
        <v>1077</v>
      </c>
      <c r="C48" s="12" t="s">
        <v>637</v>
      </c>
      <c r="D48" s="12" t="s">
        <v>7</v>
      </c>
      <c r="E48" s="13" t="s">
        <v>1078</v>
      </c>
      <c r="F48" s="14" t="s">
        <v>978</v>
      </c>
    </row>
    <row r="49" ht="48" customHeight="1" spans="1:6">
      <c r="A49" s="12" t="s">
        <v>1076</v>
      </c>
      <c r="B49" s="12" t="s">
        <v>1077</v>
      </c>
      <c r="C49" s="12" t="s">
        <v>640</v>
      </c>
      <c r="D49" s="12" t="s">
        <v>8</v>
      </c>
      <c r="E49" s="13" t="s">
        <v>1079</v>
      </c>
      <c r="F49" s="14" t="s">
        <v>978</v>
      </c>
    </row>
    <row r="50" ht="48" customHeight="1" spans="1:6">
      <c r="A50" s="12" t="s">
        <v>1076</v>
      </c>
      <c r="B50" s="12" t="s">
        <v>1077</v>
      </c>
      <c r="C50" s="12" t="s">
        <v>653</v>
      </c>
      <c r="D50" s="12" t="s">
        <v>654</v>
      </c>
      <c r="E50" s="13" t="s">
        <v>1080</v>
      </c>
      <c r="F50" s="14" t="s">
        <v>978</v>
      </c>
    </row>
    <row r="51" ht="48" customHeight="1" spans="1:6">
      <c r="A51" s="12" t="s">
        <v>1076</v>
      </c>
      <c r="B51" s="12" t="s">
        <v>1077</v>
      </c>
      <c r="C51" s="12" t="s">
        <v>981</v>
      </c>
      <c r="D51" s="12" t="s">
        <v>859</v>
      </c>
      <c r="E51" s="13" t="s">
        <v>1076</v>
      </c>
      <c r="F51" s="14" t="s">
        <v>978</v>
      </c>
    </row>
    <row r="52" ht="48" customHeight="1" spans="1:6">
      <c r="A52" s="12" t="s">
        <v>1076</v>
      </c>
      <c r="B52" s="12" t="s">
        <v>1077</v>
      </c>
      <c r="C52" s="12" t="s">
        <v>665</v>
      </c>
      <c r="D52" s="12" t="s">
        <v>983</v>
      </c>
      <c r="E52" s="13" t="s">
        <v>1079</v>
      </c>
      <c r="F52" s="14" t="s">
        <v>978</v>
      </c>
    </row>
    <row r="53" ht="48" customHeight="1" spans="1:6">
      <c r="A53" s="12" t="s">
        <v>1076</v>
      </c>
      <c r="B53" s="12" t="s">
        <v>1077</v>
      </c>
      <c r="C53" s="12" t="s">
        <v>1081</v>
      </c>
      <c r="D53" s="12" t="s">
        <v>1082</v>
      </c>
      <c r="E53" s="13" t="s">
        <v>1083</v>
      </c>
      <c r="F53" s="14" t="s">
        <v>978</v>
      </c>
    </row>
    <row r="54" ht="48" customHeight="1" spans="1:6">
      <c r="A54" s="12" t="s">
        <v>1076</v>
      </c>
      <c r="B54" s="12" t="s">
        <v>1077</v>
      </c>
      <c r="C54" s="12" t="s">
        <v>985</v>
      </c>
      <c r="D54" s="12" t="s">
        <v>986</v>
      </c>
      <c r="E54" s="13" t="s">
        <v>1084</v>
      </c>
      <c r="F54" s="14" t="s">
        <v>978</v>
      </c>
    </row>
    <row r="55" ht="48" customHeight="1" spans="1:6">
      <c r="A55" s="12" t="s">
        <v>1076</v>
      </c>
      <c r="B55" s="12" t="s">
        <v>1077</v>
      </c>
      <c r="C55" s="12" t="s">
        <v>988</v>
      </c>
      <c r="D55" s="12" t="s">
        <v>989</v>
      </c>
      <c r="E55" s="13" t="s">
        <v>1085</v>
      </c>
      <c r="F55" s="14" t="s">
        <v>978</v>
      </c>
    </row>
    <row r="56" ht="48" customHeight="1" spans="1:6">
      <c r="A56" s="12" t="s">
        <v>1076</v>
      </c>
      <c r="B56" s="12" t="s">
        <v>1077</v>
      </c>
      <c r="C56" s="12" t="s">
        <v>990</v>
      </c>
      <c r="D56" s="12" t="s">
        <v>991</v>
      </c>
      <c r="E56" s="13" t="s">
        <v>1086</v>
      </c>
      <c r="F56" s="14" t="s">
        <v>978</v>
      </c>
    </row>
    <row r="57" ht="48" customHeight="1" spans="1:6">
      <c r="A57" s="12" t="s">
        <v>1076</v>
      </c>
      <c r="B57" s="12" t="s">
        <v>1077</v>
      </c>
      <c r="C57" s="12" t="s">
        <v>992</v>
      </c>
      <c r="D57" s="12" t="s">
        <v>993</v>
      </c>
      <c r="E57" s="13" t="s">
        <v>1087</v>
      </c>
      <c r="F57" s="14" t="s">
        <v>978</v>
      </c>
    </row>
    <row r="58" ht="48" customHeight="1" spans="1:6">
      <c r="A58" s="12" t="s">
        <v>1076</v>
      </c>
      <c r="B58" s="12" t="s">
        <v>1077</v>
      </c>
      <c r="C58" s="12" t="s">
        <v>1088</v>
      </c>
      <c r="D58" s="12" t="s">
        <v>1089</v>
      </c>
      <c r="E58" s="13" t="s">
        <v>1090</v>
      </c>
      <c r="F58" s="14" t="s">
        <v>978</v>
      </c>
    </row>
    <row r="59" ht="48" customHeight="1" spans="1:6">
      <c r="A59" s="12" t="s">
        <v>1076</v>
      </c>
      <c r="B59" s="12" t="s">
        <v>1077</v>
      </c>
      <c r="C59" s="12" t="s">
        <v>1091</v>
      </c>
      <c r="D59" s="12" t="s">
        <v>1092</v>
      </c>
      <c r="E59" s="13" t="s">
        <v>1093</v>
      </c>
      <c r="F59" s="14" t="s">
        <v>978</v>
      </c>
    </row>
    <row r="60" ht="48" customHeight="1" spans="1:6">
      <c r="A60" s="12" t="s">
        <v>1076</v>
      </c>
      <c r="B60" s="12" t="s">
        <v>1077</v>
      </c>
      <c r="C60" s="12" t="s">
        <v>1094</v>
      </c>
      <c r="D60" s="12" t="s">
        <v>1095</v>
      </c>
      <c r="E60" s="13" t="s">
        <v>1096</v>
      </c>
      <c r="F60" s="14" t="s">
        <v>978</v>
      </c>
    </row>
    <row r="61" ht="48" customHeight="1" spans="1:6">
      <c r="A61" s="12" t="s">
        <v>1076</v>
      </c>
      <c r="B61" s="12" t="s">
        <v>1077</v>
      </c>
      <c r="C61" s="12" t="s">
        <v>998</v>
      </c>
      <c r="D61" s="12" t="s">
        <v>999</v>
      </c>
      <c r="E61" s="13" t="s">
        <v>1097</v>
      </c>
      <c r="F61" s="14" t="s">
        <v>978</v>
      </c>
    </row>
    <row r="62" ht="48" customHeight="1" spans="1:6">
      <c r="A62" s="12" t="s">
        <v>1076</v>
      </c>
      <c r="B62" s="12" t="s">
        <v>1077</v>
      </c>
      <c r="C62" s="12" t="s">
        <v>1001</v>
      </c>
      <c r="D62" s="12" t="s">
        <v>1002</v>
      </c>
      <c r="E62" s="13" t="s">
        <v>1098</v>
      </c>
      <c r="F62" s="14" t="s">
        <v>978</v>
      </c>
    </row>
    <row r="63" ht="48" customHeight="1" spans="1:6">
      <c r="A63" s="12" t="s">
        <v>1076</v>
      </c>
      <c r="B63" s="12" t="s">
        <v>1077</v>
      </c>
      <c r="C63" s="12" t="s">
        <v>1004</v>
      </c>
      <c r="D63" s="12" t="s">
        <v>1005</v>
      </c>
      <c r="E63" s="13" t="s">
        <v>1099</v>
      </c>
      <c r="F63" s="14" t="s">
        <v>978</v>
      </c>
    </row>
    <row r="64" ht="48" customHeight="1" spans="1:6">
      <c r="A64" s="12" t="s">
        <v>1076</v>
      </c>
      <c r="B64" s="12" t="s">
        <v>1077</v>
      </c>
      <c r="C64" s="12" t="s">
        <v>1010</v>
      </c>
      <c r="D64" s="12" t="s">
        <v>1011</v>
      </c>
      <c r="E64" s="13" t="s">
        <v>1100</v>
      </c>
      <c r="F64" s="14" t="s">
        <v>978</v>
      </c>
    </row>
    <row r="65" ht="48" customHeight="1" spans="1:6">
      <c r="A65" s="12" t="s">
        <v>1076</v>
      </c>
      <c r="B65" s="12" t="s">
        <v>1077</v>
      </c>
      <c r="C65" s="12" t="s">
        <v>1101</v>
      </c>
      <c r="D65" s="12" t="s">
        <v>1102</v>
      </c>
      <c r="E65" s="13" t="s">
        <v>1103</v>
      </c>
      <c r="F65" s="14" t="s">
        <v>978</v>
      </c>
    </row>
    <row r="66" ht="48" customHeight="1" spans="1:6">
      <c r="A66" s="12" t="s">
        <v>1076</v>
      </c>
      <c r="B66" s="12" t="s">
        <v>1077</v>
      </c>
      <c r="C66" s="12" t="s">
        <v>1104</v>
      </c>
      <c r="D66" s="12" t="s">
        <v>1105</v>
      </c>
      <c r="E66" s="13" t="s">
        <v>693</v>
      </c>
      <c r="F66" s="14" t="s">
        <v>978</v>
      </c>
    </row>
    <row r="67" ht="48" customHeight="1" spans="1:6">
      <c r="A67" s="12" t="s">
        <v>1076</v>
      </c>
      <c r="B67" s="12" t="s">
        <v>1077</v>
      </c>
      <c r="C67" s="12" t="s">
        <v>1016</v>
      </c>
      <c r="D67" s="12" t="s">
        <v>1017</v>
      </c>
      <c r="E67" s="13" t="s">
        <v>1106</v>
      </c>
      <c r="F67" s="14" t="s">
        <v>978</v>
      </c>
    </row>
    <row r="68" ht="48" customHeight="1" spans="1:6">
      <c r="A68" s="12" t="s">
        <v>1076</v>
      </c>
      <c r="B68" s="12" t="s">
        <v>1077</v>
      </c>
      <c r="C68" s="12" t="s">
        <v>1107</v>
      </c>
      <c r="D68" s="12" t="s">
        <v>1108</v>
      </c>
      <c r="E68" s="13" t="s">
        <v>1109</v>
      </c>
      <c r="F68" s="14" t="s">
        <v>978</v>
      </c>
    </row>
    <row r="69" ht="48" customHeight="1" spans="1:6">
      <c r="A69" s="12" t="s">
        <v>1076</v>
      </c>
      <c r="B69" s="12" t="s">
        <v>1077</v>
      </c>
      <c r="C69" s="12" t="s">
        <v>1110</v>
      </c>
      <c r="D69" s="12" t="s">
        <v>1111</v>
      </c>
      <c r="E69" s="13" t="s">
        <v>693</v>
      </c>
      <c r="F69" s="14" t="s">
        <v>978</v>
      </c>
    </row>
    <row r="70" ht="48" customHeight="1" spans="1:6">
      <c r="A70" s="12" t="s">
        <v>1076</v>
      </c>
      <c r="B70" s="12" t="s">
        <v>1077</v>
      </c>
      <c r="C70" s="12" t="s">
        <v>1112</v>
      </c>
      <c r="D70" s="12" t="s">
        <v>1113</v>
      </c>
      <c r="E70" s="13" t="s">
        <v>1114</v>
      </c>
      <c r="F70" s="14" t="s">
        <v>978</v>
      </c>
    </row>
    <row r="71" ht="48" customHeight="1" spans="1:6">
      <c r="A71" s="12" t="s">
        <v>1076</v>
      </c>
      <c r="B71" s="12" t="s">
        <v>1077</v>
      </c>
      <c r="C71" s="12" t="s">
        <v>1115</v>
      </c>
      <c r="D71" s="12" t="s">
        <v>1116</v>
      </c>
      <c r="E71" s="13" t="s">
        <v>1117</v>
      </c>
      <c r="F71" s="14" t="s">
        <v>978</v>
      </c>
    </row>
    <row r="72" ht="48" customHeight="1" spans="1:6">
      <c r="A72" s="12" t="s">
        <v>1076</v>
      </c>
      <c r="B72" s="12" t="s">
        <v>1077</v>
      </c>
      <c r="C72" s="12" t="s">
        <v>1118</v>
      </c>
      <c r="D72" s="12" t="s">
        <v>1119</v>
      </c>
      <c r="E72" s="13" t="s">
        <v>693</v>
      </c>
      <c r="F72" s="14" t="s">
        <v>978</v>
      </c>
    </row>
    <row r="73" ht="48" customHeight="1" spans="1:6">
      <c r="A73" s="12" t="s">
        <v>1076</v>
      </c>
      <c r="B73" s="12" t="s">
        <v>1077</v>
      </c>
      <c r="C73" s="12" t="s">
        <v>1120</v>
      </c>
      <c r="D73" s="12" t="s">
        <v>1121</v>
      </c>
      <c r="E73" s="13" t="s">
        <v>1122</v>
      </c>
      <c r="F73" s="14" t="s">
        <v>978</v>
      </c>
    </row>
    <row r="74" ht="48" customHeight="1" spans="1:6">
      <c r="A74" s="12" t="s">
        <v>1076</v>
      </c>
      <c r="B74" s="12" t="s">
        <v>1077</v>
      </c>
      <c r="C74" s="12" t="s">
        <v>1123</v>
      </c>
      <c r="D74" s="12" t="s">
        <v>1124</v>
      </c>
      <c r="E74" s="13" t="s">
        <v>1125</v>
      </c>
      <c r="F74" s="14" t="s">
        <v>978</v>
      </c>
    </row>
    <row r="75" ht="48" customHeight="1" spans="1:6">
      <c r="A75" s="12" t="s">
        <v>1076</v>
      </c>
      <c r="B75" s="12" t="s">
        <v>1077</v>
      </c>
      <c r="C75" s="12" t="s">
        <v>1126</v>
      </c>
      <c r="D75" s="12" t="s">
        <v>1127</v>
      </c>
      <c r="E75" s="13" t="s">
        <v>693</v>
      </c>
      <c r="F75" s="14" t="s">
        <v>978</v>
      </c>
    </row>
    <row r="76" ht="48" customHeight="1" spans="1:6">
      <c r="A76" s="12" t="s">
        <v>1076</v>
      </c>
      <c r="B76" s="12" t="s">
        <v>1077</v>
      </c>
      <c r="C76" s="12" t="s">
        <v>1128</v>
      </c>
      <c r="D76" s="12" t="s">
        <v>1129</v>
      </c>
      <c r="E76" s="13" t="s">
        <v>1130</v>
      </c>
      <c r="F76" s="14" t="s">
        <v>978</v>
      </c>
    </row>
    <row r="77" ht="48" customHeight="1" spans="1:6">
      <c r="A77" s="12" t="s">
        <v>1076</v>
      </c>
      <c r="B77" s="12" t="s">
        <v>1077</v>
      </c>
      <c r="C77" s="12" t="s">
        <v>1131</v>
      </c>
      <c r="D77" s="12" t="s">
        <v>1132</v>
      </c>
      <c r="E77" s="13" t="s">
        <v>1133</v>
      </c>
      <c r="F77" s="14" t="s">
        <v>978</v>
      </c>
    </row>
    <row r="78" ht="48" customHeight="1" spans="1:6">
      <c r="A78" s="12" t="s">
        <v>1076</v>
      </c>
      <c r="B78" s="12" t="s">
        <v>1077</v>
      </c>
      <c r="C78" s="12" t="s">
        <v>1134</v>
      </c>
      <c r="D78" s="12" t="s">
        <v>1135</v>
      </c>
      <c r="E78" s="13" t="s">
        <v>1136</v>
      </c>
      <c r="F78" s="14" t="s">
        <v>978</v>
      </c>
    </row>
    <row r="79" ht="48" customHeight="1" spans="1:6">
      <c r="A79" s="12" t="s">
        <v>1137</v>
      </c>
      <c r="B79" s="12" t="s">
        <v>1138</v>
      </c>
      <c r="C79" s="12" t="s">
        <v>975</v>
      </c>
      <c r="D79" s="12" t="s">
        <v>6</v>
      </c>
      <c r="E79" s="13" t="s">
        <v>1137</v>
      </c>
      <c r="F79" s="14" t="s">
        <v>976</v>
      </c>
    </row>
    <row r="80" ht="48" customHeight="1" spans="1:6">
      <c r="A80" s="12" t="s">
        <v>1137</v>
      </c>
      <c r="B80" s="12" t="s">
        <v>1138</v>
      </c>
      <c r="C80" s="12" t="s">
        <v>637</v>
      </c>
      <c r="D80" s="12" t="s">
        <v>7</v>
      </c>
      <c r="E80" s="13" t="s">
        <v>1139</v>
      </c>
      <c r="F80" s="14" t="s">
        <v>978</v>
      </c>
    </row>
    <row r="81" ht="48" customHeight="1" spans="1:6">
      <c r="A81" s="12" t="s">
        <v>1137</v>
      </c>
      <c r="B81" s="12" t="s">
        <v>1138</v>
      </c>
      <c r="C81" s="12" t="s">
        <v>640</v>
      </c>
      <c r="D81" s="12" t="s">
        <v>8</v>
      </c>
      <c r="E81" s="13" t="s">
        <v>1140</v>
      </c>
      <c r="F81" s="14" t="s">
        <v>978</v>
      </c>
    </row>
    <row r="82" ht="48" customHeight="1" spans="1:6">
      <c r="A82" s="12" t="s">
        <v>1137</v>
      </c>
      <c r="B82" s="12" t="s">
        <v>1138</v>
      </c>
      <c r="C82" s="12" t="s">
        <v>653</v>
      </c>
      <c r="D82" s="12" t="s">
        <v>654</v>
      </c>
      <c r="E82" s="13" t="s">
        <v>1141</v>
      </c>
      <c r="F82" s="14" t="s">
        <v>978</v>
      </c>
    </row>
    <row r="83" ht="48" customHeight="1" spans="1:6">
      <c r="A83" s="12" t="s">
        <v>1137</v>
      </c>
      <c r="B83" s="12" t="s">
        <v>1138</v>
      </c>
      <c r="C83" s="12" t="s">
        <v>981</v>
      </c>
      <c r="D83" s="12" t="s">
        <v>859</v>
      </c>
      <c r="E83" s="13" t="s">
        <v>1137</v>
      </c>
      <c r="F83" s="14" t="s">
        <v>978</v>
      </c>
    </row>
    <row r="84" ht="48" customHeight="1" spans="1:6">
      <c r="A84" s="12" t="s">
        <v>1137</v>
      </c>
      <c r="B84" s="12" t="s">
        <v>1138</v>
      </c>
      <c r="C84" s="12" t="s">
        <v>665</v>
      </c>
      <c r="D84" s="12" t="s">
        <v>983</v>
      </c>
      <c r="E84" s="13" t="s">
        <v>1140</v>
      </c>
      <c r="F84" s="14" t="s">
        <v>978</v>
      </c>
    </row>
    <row r="85" ht="48" customHeight="1" spans="1:6">
      <c r="A85" s="12" t="s">
        <v>1137</v>
      </c>
      <c r="B85" s="12" t="s">
        <v>1138</v>
      </c>
      <c r="C85" s="12" t="s">
        <v>1081</v>
      </c>
      <c r="D85" s="12" t="s">
        <v>1082</v>
      </c>
      <c r="E85" s="13" t="s">
        <v>1083</v>
      </c>
      <c r="F85" s="14" t="s">
        <v>978</v>
      </c>
    </row>
    <row r="86" ht="48" customHeight="1" spans="1:6">
      <c r="A86" s="12" t="s">
        <v>1137</v>
      </c>
      <c r="B86" s="12" t="s">
        <v>1138</v>
      </c>
      <c r="C86" s="12" t="s">
        <v>985</v>
      </c>
      <c r="D86" s="12" t="s">
        <v>986</v>
      </c>
      <c r="E86" s="13" t="s">
        <v>1142</v>
      </c>
      <c r="F86" s="14" t="s">
        <v>978</v>
      </c>
    </row>
    <row r="87" ht="48" customHeight="1" spans="1:6">
      <c r="A87" s="12" t="s">
        <v>1137</v>
      </c>
      <c r="B87" s="12" t="s">
        <v>1138</v>
      </c>
      <c r="C87" s="12" t="s">
        <v>988</v>
      </c>
      <c r="D87" s="12" t="s">
        <v>989</v>
      </c>
      <c r="E87" s="13" t="s">
        <v>1143</v>
      </c>
      <c r="F87" s="14" t="s">
        <v>978</v>
      </c>
    </row>
    <row r="88" ht="48" customHeight="1" spans="1:6">
      <c r="A88" s="12" t="s">
        <v>1137</v>
      </c>
      <c r="B88" s="12" t="s">
        <v>1138</v>
      </c>
      <c r="C88" s="12" t="s">
        <v>990</v>
      </c>
      <c r="D88" s="12" t="s">
        <v>991</v>
      </c>
      <c r="E88" s="13" t="s">
        <v>1144</v>
      </c>
      <c r="F88" s="14" t="s">
        <v>978</v>
      </c>
    </row>
    <row r="89" ht="48" customHeight="1" spans="1:6">
      <c r="A89" s="12" t="s">
        <v>1137</v>
      </c>
      <c r="B89" s="12" t="s">
        <v>1138</v>
      </c>
      <c r="C89" s="12" t="s">
        <v>992</v>
      </c>
      <c r="D89" s="12" t="s">
        <v>993</v>
      </c>
      <c r="E89" s="13" t="s">
        <v>1145</v>
      </c>
      <c r="F89" s="14" t="s">
        <v>978</v>
      </c>
    </row>
    <row r="90" ht="48" customHeight="1" spans="1:6">
      <c r="A90" s="12" t="s">
        <v>1137</v>
      </c>
      <c r="B90" s="12" t="s">
        <v>1138</v>
      </c>
      <c r="C90" s="12" t="s">
        <v>1088</v>
      </c>
      <c r="D90" s="12" t="s">
        <v>1089</v>
      </c>
      <c r="E90" s="13" t="s">
        <v>1090</v>
      </c>
      <c r="F90" s="14" t="s">
        <v>978</v>
      </c>
    </row>
    <row r="91" ht="48" customHeight="1" spans="1:6">
      <c r="A91" s="12" t="s">
        <v>1137</v>
      </c>
      <c r="B91" s="12" t="s">
        <v>1138</v>
      </c>
      <c r="C91" s="12" t="s">
        <v>1091</v>
      </c>
      <c r="D91" s="12" t="s">
        <v>1092</v>
      </c>
      <c r="E91" s="13" t="s">
        <v>1146</v>
      </c>
      <c r="F91" s="14" t="s">
        <v>978</v>
      </c>
    </row>
    <row r="92" ht="48" customHeight="1" spans="1:6">
      <c r="A92" s="12" t="s">
        <v>1137</v>
      </c>
      <c r="B92" s="12" t="s">
        <v>1138</v>
      </c>
      <c r="C92" s="12" t="s">
        <v>1094</v>
      </c>
      <c r="D92" s="12" t="s">
        <v>1095</v>
      </c>
      <c r="E92" s="13" t="s">
        <v>1147</v>
      </c>
      <c r="F92" s="14" t="s">
        <v>978</v>
      </c>
    </row>
    <row r="93" ht="48" customHeight="1" spans="1:6">
      <c r="A93" s="12" t="s">
        <v>1137</v>
      </c>
      <c r="B93" s="12" t="s">
        <v>1138</v>
      </c>
      <c r="C93" s="12" t="s">
        <v>998</v>
      </c>
      <c r="D93" s="12" t="s">
        <v>999</v>
      </c>
      <c r="E93" s="13" t="s">
        <v>1148</v>
      </c>
      <c r="F93" s="14" t="s">
        <v>978</v>
      </c>
    </row>
    <row r="94" ht="48" customHeight="1" spans="1:6">
      <c r="A94" s="12" t="s">
        <v>1137</v>
      </c>
      <c r="B94" s="12" t="s">
        <v>1138</v>
      </c>
      <c r="C94" s="12" t="s">
        <v>1001</v>
      </c>
      <c r="D94" s="12" t="s">
        <v>1002</v>
      </c>
      <c r="E94" s="13" t="s">
        <v>1149</v>
      </c>
      <c r="F94" s="14" t="s">
        <v>978</v>
      </c>
    </row>
    <row r="95" ht="48" customHeight="1" spans="1:6">
      <c r="A95" s="12" t="s">
        <v>1137</v>
      </c>
      <c r="B95" s="12" t="s">
        <v>1138</v>
      </c>
      <c r="C95" s="12" t="s">
        <v>1004</v>
      </c>
      <c r="D95" s="12" t="s">
        <v>1005</v>
      </c>
      <c r="E95" s="13" t="s">
        <v>693</v>
      </c>
      <c r="F95" s="14" t="s">
        <v>978</v>
      </c>
    </row>
    <row r="96" ht="48" customHeight="1" spans="1:6">
      <c r="A96" s="12" t="s">
        <v>1137</v>
      </c>
      <c r="B96" s="12" t="s">
        <v>1138</v>
      </c>
      <c r="C96" s="12" t="s">
        <v>1010</v>
      </c>
      <c r="D96" s="12" t="s">
        <v>1011</v>
      </c>
      <c r="E96" s="13" t="s">
        <v>1150</v>
      </c>
      <c r="F96" s="14" t="s">
        <v>978</v>
      </c>
    </row>
    <row r="97" ht="48" customHeight="1" spans="1:6">
      <c r="A97" s="12" t="s">
        <v>1137</v>
      </c>
      <c r="B97" s="12" t="s">
        <v>1138</v>
      </c>
      <c r="C97" s="12" t="s">
        <v>1101</v>
      </c>
      <c r="D97" s="12" t="s">
        <v>1102</v>
      </c>
      <c r="E97" s="13" t="s">
        <v>1151</v>
      </c>
      <c r="F97" s="14" t="s">
        <v>978</v>
      </c>
    </row>
    <row r="98" ht="48" customHeight="1" spans="1:6">
      <c r="A98" s="12" t="s">
        <v>1137</v>
      </c>
      <c r="B98" s="12" t="s">
        <v>1138</v>
      </c>
      <c r="C98" s="12" t="s">
        <v>1104</v>
      </c>
      <c r="D98" s="12" t="s">
        <v>1105</v>
      </c>
      <c r="E98" s="13" t="s">
        <v>693</v>
      </c>
      <c r="F98" s="14" t="s">
        <v>978</v>
      </c>
    </row>
    <row r="99" ht="48" customHeight="1" spans="1:6">
      <c r="A99" s="12" t="s">
        <v>1137</v>
      </c>
      <c r="B99" s="12" t="s">
        <v>1138</v>
      </c>
      <c r="C99" s="12" t="s">
        <v>1016</v>
      </c>
      <c r="D99" s="12" t="s">
        <v>1017</v>
      </c>
      <c r="E99" s="13" t="s">
        <v>1152</v>
      </c>
      <c r="F99" s="14" t="s">
        <v>978</v>
      </c>
    </row>
    <row r="100" ht="48" customHeight="1" spans="1:6">
      <c r="A100" s="12" t="s">
        <v>1137</v>
      </c>
      <c r="B100" s="12" t="s">
        <v>1138</v>
      </c>
      <c r="C100" s="12" t="s">
        <v>1107</v>
      </c>
      <c r="D100" s="12" t="s">
        <v>1108</v>
      </c>
      <c r="E100" s="13" t="s">
        <v>1153</v>
      </c>
      <c r="F100" s="14" t="s">
        <v>978</v>
      </c>
    </row>
    <row r="101" ht="48" customHeight="1" spans="1:6">
      <c r="A101" s="12" t="s">
        <v>1137</v>
      </c>
      <c r="B101" s="12" t="s">
        <v>1138</v>
      </c>
      <c r="C101" s="12" t="s">
        <v>1110</v>
      </c>
      <c r="D101" s="12" t="s">
        <v>1111</v>
      </c>
      <c r="E101" s="13" t="s">
        <v>693</v>
      </c>
      <c r="F101" s="14" t="s">
        <v>978</v>
      </c>
    </row>
    <row r="102" ht="48" customHeight="1" spans="1:6">
      <c r="A102" s="12" t="s">
        <v>1137</v>
      </c>
      <c r="B102" s="12" t="s">
        <v>1138</v>
      </c>
      <c r="C102" s="12" t="s">
        <v>1112</v>
      </c>
      <c r="D102" s="12" t="s">
        <v>1113</v>
      </c>
      <c r="E102" s="13" t="s">
        <v>1154</v>
      </c>
      <c r="F102" s="14" t="s">
        <v>978</v>
      </c>
    </row>
    <row r="103" ht="48" customHeight="1" spans="1:6">
      <c r="A103" s="12" t="s">
        <v>1137</v>
      </c>
      <c r="B103" s="12" t="s">
        <v>1138</v>
      </c>
      <c r="C103" s="12" t="s">
        <v>1115</v>
      </c>
      <c r="D103" s="12" t="s">
        <v>1116</v>
      </c>
      <c r="E103" s="13" t="s">
        <v>1155</v>
      </c>
      <c r="F103" s="14" t="s">
        <v>978</v>
      </c>
    </row>
    <row r="104" ht="48" customHeight="1" spans="1:6">
      <c r="A104" s="12" t="s">
        <v>1137</v>
      </c>
      <c r="B104" s="12" t="s">
        <v>1138</v>
      </c>
      <c r="C104" s="12" t="s">
        <v>1118</v>
      </c>
      <c r="D104" s="12" t="s">
        <v>1119</v>
      </c>
      <c r="E104" s="13" t="s">
        <v>693</v>
      </c>
      <c r="F104" s="14" t="s">
        <v>978</v>
      </c>
    </row>
    <row r="105" ht="48" customHeight="1" spans="1:6">
      <c r="A105" s="12" t="s">
        <v>1137</v>
      </c>
      <c r="B105" s="12" t="s">
        <v>1138</v>
      </c>
      <c r="C105" s="12" t="s">
        <v>1120</v>
      </c>
      <c r="D105" s="12" t="s">
        <v>1121</v>
      </c>
      <c r="E105" s="13" t="s">
        <v>1156</v>
      </c>
      <c r="F105" s="14" t="s">
        <v>978</v>
      </c>
    </row>
    <row r="106" ht="48" customHeight="1" spans="1:6">
      <c r="A106" s="12" t="s">
        <v>1137</v>
      </c>
      <c r="B106" s="12" t="s">
        <v>1138</v>
      </c>
      <c r="C106" s="12" t="s">
        <v>1123</v>
      </c>
      <c r="D106" s="12" t="s">
        <v>1124</v>
      </c>
      <c r="E106" s="13" t="s">
        <v>1157</v>
      </c>
      <c r="F106" s="14" t="s">
        <v>978</v>
      </c>
    </row>
    <row r="107" ht="48" customHeight="1" spans="1:6">
      <c r="A107" s="12" t="s">
        <v>1137</v>
      </c>
      <c r="B107" s="12" t="s">
        <v>1138</v>
      </c>
      <c r="C107" s="12" t="s">
        <v>1126</v>
      </c>
      <c r="D107" s="12" t="s">
        <v>1127</v>
      </c>
      <c r="E107" s="13" t="s">
        <v>693</v>
      </c>
      <c r="F107" s="14" t="s">
        <v>978</v>
      </c>
    </row>
    <row r="108" ht="48" customHeight="1" spans="1:6">
      <c r="A108" s="12" t="s">
        <v>1137</v>
      </c>
      <c r="B108" s="12" t="s">
        <v>1138</v>
      </c>
      <c r="C108" s="12" t="s">
        <v>1128</v>
      </c>
      <c r="D108" s="12" t="s">
        <v>1129</v>
      </c>
      <c r="E108" s="13" t="s">
        <v>1158</v>
      </c>
      <c r="F108" s="14" t="s">
        <v>978</v>
      </c>
    </row>
    <row r="109" ht="48" customHeight="1" spans="1:6">
      <c r="A109" s="12" t="s">
        <v>1137</v>
      </c>
      <c r="B109" s="12" t="s">
        <v>1138</v>
      </c>
      <c r="C109" s="12" t="s">
        <v>1131</v>
      </c>
      <c r="D109" s="12" t="s">
        <v>1132</v>
      </c>
      <c r="E109" s="13" t="s">
        <v>1159</v>
      </c>
      <c r="F109" s="14" t="s">
        <v>978</v>
      </c>
    </row>
    <row r="110" ht="48" customHeight="1" spans="1:6">
      <c r="A110" s="12" t="s">
        <v>1137</v>
      </c>
      <c r="B110" s="12" t="s">
        <v>1138</v>
      </c>
      <c r="C110" s="12" t="s">
        <v>1134</v>
      </c>
      <c r="D110" s="12" t="s">
        <v>1135</v>
      </c>
      <c r="E110" s="13" t="s">
        <v>693</v>
      </c>
      <c r="F110" s="14" t="s">
        <v>978</v>
      </c>
    </row>
    <row r="111" ht="48" customHeight="1" spans="1:6">
      <c r="A111" s="12" t="s">
        <v>1160</v>
      </c>
      <c r="B111" s="12" t="s">
        <v>1161</v>
      </c>
      <c r="C111" s="12" t="s">
        <v>975</v>
      </c>
      <c r="D111" s="12" t="s">
        <v>6</v>
      </c>
      <c r="E111" s="13" t="s">
        <v>1160</v>
      </c>
      <c r="F111" s="14" t="s">
        <v>976</v>
      </c>
    </row>
    <row r="112" ht="48" customHeight="1" spans="1:6">
      <c r="A112" s="12" t="s">
        <v>1160</v>
      </c>
      <c r="B112" s="12" t="s">
        <v>1161</v>
      </c>
      <c r="C112" s="12" t="s">
        <v>637</v>
      </c>
      <c r="D112" s="12" t="s">
        <v>7</v>
      </c>
      <c r="E112" s="13" t="s">
        <v>1162</v>
      </c>
      <c r="F112" s="14" t="s">
        <v>978</v>
      </c>
    </row>
    <row r="113" ht="48" customHeight="1" spans="1:6">
      <c r="A113" s="12" t="s">
        <v>1160</v>
      </c>
      <c r="B113" s="12" t="s">
        <v>1161</v>
      </c>
      <c r="C113" s="12" t="s">
        <v>640</v>
      </c>
      <c r="D113" s="12" t="s">
        <v>8</v>
      </c>
      <c r="E113" s="13" t="s">
        <v>1163</v>
      </c>
      <c r="F113" s="14" t="s">
        <v>978</v>
      </c>
    </row>
    <row r="114" ht="48" customHeight="1" spans="1:6">
      <c r="A114" s="12" t="s">
        <v>1160</v>
      </c>
      <c r="B114" s="12" t="s">
        <v>1161</v>
      </c>
      <c r="C114" s="12" t="s">
        <v>653</v>
      </c>
      <c r="D114" s="12" t="s">
        <v>654</v>
      </c>
      <c r="E114" s="13" t="s">
        <v>1164</v>
      </c>
      <c r="F114" s="14" t="s">
        <v>978</v>
      </c>
    </row>
    <row r="115" ht="48" customHeight="1" spans="1:6">
      <c r="A115" s="12" t="s">
        <v>1160</v>
      </c>
      <c r="B115" s="12" t="s">
        <v>1161</v>
      </c>
      <c r="C115" s="12" t="s">
        <v>981</v>
      </c>
      <c r="D115" s="12" t="s">
        <v>859</v>
      </c>
      <c r="E115" s="13" t="s">
        <v>1165</v>
      </c>
      <c r="F115" s="14" t="s">
        <v>978</v>
      </c>
    </row>
    <row r="116" ht="48" customHeight="1" spans="1:6">
      <c r="A116" s="12" t="s">
        <v>1160</v>
      </c>
      <c r="B116" s="12" t="s">
        <v>1161</v>
      </c>
      <c r="C116" s="12" t="s">
        <v>665</v>
      </c>
      <c r="D116" s="12" t="s">
        <v>983</v>
      </c>
      <c r="E116" s="13" t="s">
        <v>1166</v>
      </c>
      <c r="F116" s="14" t="s">
        <v>978</v>
      </c>
    </row>
    <row r="117" ht="48" customHeight="1" spans="1:6">
      <c r="A117" s="12" t="s">
        <v>1160</v>
      </c>
      <c r="B117" s="12" t="s">
        <v>1161</v>
      </c>
      <c r="C117" s="12" t="s">
        <v>1167</v>
      </c>
      <c r="D117" s="12" t="s">
        <v>1168</v>
      </c>
      <c r="E117" s="13" t="s">
        <v>1169</v>
      </c>
      <c r="F117" s="14" t="s">
        <v>978</v>
      </c>
    </row>
  </sheetData>
  <pageMargins left="0.7" right="0.7" top="0.75" bottom="0.75" header="0.3" footer="0.3"/>
  <headerFooter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C89A45"/>
  </sheetPr>
  <dimension ref="A1:E19"/>
  <sheetViews>
    <sheetView showGridLines="0" tabSelected="1" workbookViewId="0">
      <pane xSplit="3" ySplit="4" topLeftCell="D5" activePane="bottomRight" state="frozen"/>
      <selection/>
      <selection pane="topRight"/>
      <selection pane="bottomLeft"/>
      <selection pane="bottomRight" activeCell="D5" sqref="D5"/>
    </sheetView>
  </sheetViews>
  <sheetFormatPr defaultColWidth="9" defaultRowHeight="14.25" outlineLevelCol="4"/>
  <cols>
    <col min="1" max="1" width="18" style="1" customWidth="1"/>
    <col min="2" max="2" width="28" style="1" customWidth="1"/>
    <col min="3" max="3" width="25" style="1" customWidth="1"/>
    <col min="4" max="4" width="82" style="1" customWidth="1"/>
    <col min="5" max="5" width="34" style="1" customWidth="1"/>
  </cols>
  <sheetData>
    <row r="1" ht="34" customHeight="1" spans="1:5">
      <c r="A1" s="2" t="s">
        <v>1170</v>
      </c>
      <c r="B1" s="2"/>
      <c r="C1" s="2"/>
      <c r="D1" s="2"/>
      <c r="E1" s="2"/>
    </row>
    <row r="2" ht="24" customHeight="1" spans="1:5">
      <c r="A2" s="9" t="s">
        <v>1171</v>
      </c>
      <c r="B2" s="9"/>
      <c r="C2" s="9"/>
      <c r="D2" s="9"/>
      <c r="E2" s="9"/>
    </row>
    <row r="3" ht="8" customHeight="1" spans="1:5">
      <c r="A3" s="10"/>
      <c r="B3" s="10"/>
      <c r="C3" s="10"/>
      <c r="D3" s="10"/>
      <c r="E3" s="10"/>
    </row>
    <row r="4" ht="34" customHeight="1" spans="1:5">
      <c r="A4" s="11" t="s">
        <v>600</v>
      </c>
      <c r="B4" s="11" t="s">
        <v>601</v>
      </c>
      <c r="C4" s="11" t="s">
        <v>602</v>
      </c>
      <c r="D4" s="11" t="s">
        <v>603</v>
      </c>
      <c r="E4" s="11" t="s">
        <v>604</v>
      </c>
    </row>
    <row r="5" ht="42" customHeight="1" spans="1:5">
      <c r="A5" s="12" t="s">
        <v>1172</v>
      </c>
      <c r="B5" s="12" t="s">
        <v>1173</v>
      </c>
      <c r="C5" s="12" t="s">
        <v>1174</v>
      </c>
      <c r="D5" s="13" t="s">
        <v>1175</v>
      </c>
      <c r="E5" s="14" t="s">
        <v>1176</v>
      </c>
    </row>
    <row r="6" ht="42" customHeight="1" spans="1:5">
      <c r="A6" s="12" t="s">
        <v>1177</v>
      </c>
      <c r="B6" s="12" t="s">
        <v>1053</v>
      </c>
      <c r="C6" s="12" t="s">
        <v>1054</v>
      </c>
      <c r="D6" s="13" t="s">
        <v>1178</v>
      </c>
      <c r="E6" s="14" t="s">
        <v>693</v>
      </c>
    </row>
    <row r="7" ht="42" customHeight="1" spans="1:5">
      <c r="A7" s="12" t="s">
        <v>1177</v>
      </c>
      <c r="B7" s="12" t="s">
        <v>1179</v>
      </c>
      <c r="C7" s="12" t="s">
        <v>1178</v>
      </c>
      <c r="D7" s="13" t="s">
        <v>1180</v>
      </c>
      <c r="E7" s="14" t="s">
        <v>1181</v>
      </c>
    </row>
    <row r="8" ht="42" customHeight="1" spans="1:5">
      <c r="A8" s="12" t="s">
        <v>1177</v>
      </c>
      <c r="B8" s="12" t="s">
        <v>1056</v>
      </c>
      <c r="C8" s="12" t="s">
        <v>1057</v>
      </c>
      <c r="D8" s="13" t="s">
        <v>1182</v>
      </c>
      <c r="E8" s="14" t="s">
        <v>693</v>
      </c>
    </row>
    <row r="9" ht="42" customHeight="1" spans="1:5">
      <c r="A9" s="12" t="s">
        <v>1177</v>
      </c>
      <c r="B9" s="12" t="s">
        <v>1183</v>
      </c>
      <c r="C9" s="12" t="s">
        <v>1184</v>
      </c>
      <c r="D9" s="13" t="s">
        <v>1185</v>
      </c>
      <c r="E9" s="14" t="s">
        <v>1181</v>
      </c>
    </row>
    <row r="10" ht="42" customHeight="1" spans="1:5">
      <c r="A10" s="12" t="s">
        <v>1186</v>
      </c>
      <c r="B10" s="12" t="s">
        <v>1187</v>
      </c>
      <c r="C10" s="12" t="s">
        <v>1188</v>
      </c>
      <c r="D10" s="13" t="s">
        <v>1189</v>
      </c>
      <c r="E10" s="14" t="s">
        <v>693</v>
      </c>
    </row>
    <row r="11" ht="42" customHeight="1" spans="1:5">
      <c r="A11" s="12" t="s">
        <v>1186</v>
      </c>
      <c r="B11" s="12" t="s">
        <v>1190</v>
      </c>
      <c r="C11" s="12" t="s">
        <v>1191</v>
      </c>
      <c r="D11" s="13" t="s">
        <v>1192</v>
      </c>
      <c r="E11" s="14" t="s">
        <v>693</v>
      </c>
    </row>
    <row r="12" ht="42" customHeight="1" spans="1:5">
      <c r="A12" s="12" t="s">
        <v>1193</v>
      </c>
      <c r="B12" s="12" t="s">
        <v>1194</v>
      </c>
      <c r="C12" s="12" t="s">
        <v>1195</v>
      </c>
      <c r="D12" s="13" t="s">
        <v>632</v>
      </c>
      <c r="E12" s="14" t="s">
        <v>693</v>
      </c>
    </row>
    <row r="13" ht="42" customHeight="1" spans="1:5">
      <c r="A13" s="12" t="s">
        <v>1193</v>
      </c>
      <c r="B13" s="12" t="s">
        <v>1196</v>
      </c>
      <c r="C13" s="12" t="s">
        <v>1197</v>
      </c>
      <c r="D13" s="13" t="s">
        <v>635</v>
      </c>
      <c r="E13" s="14" t="s">
        <v>693</v>
      </c>
    </row>
    <row r="14" ht="42" customHeight="1" spans="1:5">
      <c r="A14" s="12" t="s">
        <v>1193</v>
      </c>
      <c r="B14" s="12" t="s">
        <v>1198</v>
      </c>
      <c r="C14" s="12" t="s">
        <v>1199</v>
      </c>
      <c r="D14" s="13" t="s">
        <v>1076</v>
      </c>
      <c r="E14" s="14" t="s">
        <v>693</v>
      </c>
    </row>
    <row r="15" ht="42" customHeight="1" spans="1:5">
      <c r="A15" s="12" t="s">
        <v>1193</v>
      </c>
      <c r="B15" s="12" t="s">
        <v>1200</v>
      </c>
      <c r="C15" s="12" t="s">
        <v>1201</v>
      </c>
      <c r="D15" s="13" t="s">
        <v>1137</v>
      </c>
      <c r="E15" s="14" t="s">
        <v>693</v>
      </c>
    </row>
    <row r="16" ht="42" customHeight="1" spans="1:5">
      <c r="A16" s="12" t="s">
        <v>1202</v>
      </c>
      <c r="B16" s="12" t="s">
        <v>1203</v>
      </c>
      <c r="C16" s="12" t="s">
        <v>1204</v>
      </c>
      <c r="D16" s="13" t="s">
        <v>1205</v>
      </c>
      <c r="E16" s="14" t="s">
        <v>693</v>
      </c>
    </row>
    <row r="17" ht="42" customHeight="1" spans="1:5">
      <c r="A17" s="12" t="s">
        <v>1067</v>
      </c>
      <c r="B17" s="12" t="s">
        <v>1206</v>
      </c>
      <c r="C17" s="12" t="s">
        <v>1207</v>
      </c>
      <c r="D17" s="13" t="s">
        <v>1208</v>
      </c>
      <c r="E17" s="14" t="s">
        <v>693</v>
      </c>
    </row>
    <row r="18" ht="42" customHeight="1" spans="1:5">
      <c r="A18" s="12" t="s">
        <v>1067</v>
      </c>
      <c r="B18" s="12" t="s">
        <v>1209</v>
      </c>
      <c r="C18" s="12" t="s">
        <v>1210</v>
      </c>
      <c r="D18" s="13" t="s">
        <v>1211</v>
      </c>
      <c r="E18" s="14" t="s">
        <v>693</v>
      </c>
    </row>
    <row r="19" ht="42" customHeight="1" spans="1:5">
      <c r="A19" s="12" t="s">
        <v>1067</v>
      </c>
      <c r="B19" s="12" t="s">
        <v>1212</v>
      </c>
      <c r="C19" s="12" t="s">
        <v>1213</v>
      </c>
      <c r="D19" s="13" t="s">
        <v>1046</v>
      </c>
      <c r="E19" s="14" t="s">
        <v>693</v>
      </c>
    </row>
  </sheetData>
  <pageMargins left="0.7" right="0.7" top="0.75" bottom="0.75" header="0.3" footer="0.3"/>
  <headerFooter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61018"/>
  </sheetPr>
  <dimension ref="A1:H34"/>
  <sheetViews>
    <sheetView showGridLines="0" workbookViewId="0">
      <pane ySplit="2" topLeftCell="A3" activePane="bottomLeft" state="frozen"/>
      <selection/>
      <selection pane="bottomLeft" activeCell="A1" sqref="A1"/>
    </sheetView>
  </sheetViews>
  <sheetFormatPr defaultColWidth="9" defaultRowHeight="14.25" outlineLevelCol="7"/>
  <cols>
    <col min="1" max="1" width="22" style="1" customWidth="1"/>
    <col min="2" max="2" width="88" style="1" customWidth="1"/>
    <col min="3" max="8" width="3" style="1" customWidth="1"/>
  </cols>
  <sheetData>
    <row r="1" ht="36" customHeight="1" spans="1:8">
      <c r="A1" s="2" t="s">
        <v>1214</v>
      </c>
      <c r="B1" s="2"/>
      <c r="C1" s="2"/>
      <c r="D1" s="2"/>
      <c r="E1" s="2"/>
      <c r="F1" s="2"/>
      <c r="G1" s="2"/>
      <c r="H1" s="2"/>
    </row>
    <row r="2" ht="24" customHeight="1" spans="1:8">
      <c r="A2" s="3" t="s">
        <v>1215</v>
      </c>
      <c r="B2" s="3"/>
      <c r="C2" s="3"/>
      <c r="D2" s="3"/>
      <c r="E2" s="3"/>
      <c r="F2" s="3"/>
      <c r="G2" s="3"/>
      <c r="H2" s="3"/>
    </row>
    <row r="4" ht="28" customHeight="1" spans="1:8">
      <c r="A4" s="4" t="s">
        <v>1216</v>
      </c>
      <c r="B4" s="4" t="s">
        <v>1217</v>
      </c>
    </row>
    <row r="5" ht="28" customHeight="1" spans="1:8">
      <c r="A5" s="5" t="s">
        <v>1218</v>
      </c>
      <c r="B5" s="5" t="s">
        <v>1219</v>
      </c>
    </row>
    <row r="6" ht="28" customHeight="1" spans="1:8">
      <c r="A6" s="5" t="s">
        <v>1220</v>
      </c>
      <c r="B6" s="5" t="s">
        <v>1221</v>
      </c>
    </row>
    <row r="7" ht="28" customHeight="1" spans="1:8">
      <c r="A7" s="5" t="s">
        <v>1222</v>
      </c>
      <c r="B7" s="5" t="s">
        <v>1223</v>
      </c>
    </row>
    <row r="8" ht="28" customHeight="1" spans="1:8">
      <c r="A8" s="5" t="s">
        <v>1224</v>
      </c>
      <c r="B8" s="5" t="s">
        <v>1225</v>
      </c>
    </row>
    <row r="9" ht="28" customHeight="1" spans="1:8">
      <c r="A9" s="5" t="s">
        <v>1226</v>
      </c>
      <c r="B9" s="5" t="s">
        <v>1227</v>
      </c>
    </row>
    <row r="10" ht="28" customHeight="1" spans="1:8">
      <c r="B10" s="6"/>
    </row>
    <row r="11" ht="28" customHeight="1" spans="1:8">
      <c r="A11" s="4" t="s">
        <v>1228</v>
      </c>
      <c r="B11" s="4" t="s">
        <v>1229</v>
      </c>
    </row>
    <row r="12" ht="28" customHeight="1" spans="1:8">
      <c r="A12" s="5" t="s">
        <v>22</v>
      </c>
      <c r="B12" s="5" t="s">
        <v>1230</v>
      </c>
    </row>
    <row r="13" ht="28" customHeight="1" spans="1:8">
      <c r="A13" s="5" t="s">
        <v>23</v>
      </c>
      <c r="B13" s="5" t="s">
        <v>1231</v>
      </c>
    </row>
    <row r="14" ht="28" customHeight="1" spans="1:8">
      <c r="A14" s="5" t="s">
        <v>1232</v>
      </c>
      <c r="B14" s="5" t="s">
        <v>1233</v>
      </c>
    </row>
    <row r="15" ht="28" customHeight="1" spans="1:8">
      <c r="A15" s="5" t="s">
        <v>1234</v>
      </c>
      <c r="B15" s="5" t="s">
        <v>1235</v>
      </c>
    </row>
    <row r="16" ht="28" customHeight="1" spans="1:8">
      <c r="A16" s="5" t="s">
        <v>1236</v>
      </c>
      <c r="B16" s="5" t="s">
        <v>1237</v>
      </c>
    </row>
    <row r="17" ht="28" customHeight="1" spans="1:2">
      <c r="A17" s="5" t="s">
        <v>1238</v>
      </c>
      <c r="B17" s="5" t="s">
        <v>1239</v>
      </c>
    </row>
    <row r="18" ht="28" customHeight="1" spans="1:2">
      <c r="A18" s="5" t="s">
        <v>1240</v>
      </c>
      <c r="B18" s="5" t="s">
        <v>1241</v>
      </c>
    </row>
    <row r="19" ht="28" customHeight="1" spans="1:2">
      <c r="B19" s="6"/>
    </row>
    <row r="20" ht="28" customHeight="1" spans="1:2">
      <c r="A20" s="4" t="s">
        <v>1242</v>
      </c>
      <c r="B20" s="4" t="s">
        <v>1243</v>
      </c>
    </row>
    <row r="21" ht="28" customHeight="1" spans="1:2">
      <c r="A21" s="5">
        <v>1</v>
      </c>
      <c r="B21" s="5" t="s">
        <v>1244</v>
      </c>
    </row>
    <row r="22" ht="28" customHeight="1" spans="1:2">
      <c r="A22" s="5">
        <v>2</v>
      </c>
      <c r="B22" s="5" t="s">
        <v>1245</v>
      </c>
    </row>
    <row r="23" ht="28" customHeight="1" spans="1:2">
      <c r="A23" s="5">
        <v>3</v>
      </c>
      <c r="B23" s="5" t="s">
        <v>1246</v>
      </c>
    </row>
    <row r="24" ht="28" customHeight="1" spans="1:2">
      <c r="A24" s="5">
        <v>4</v>
      </c>
      <c r="B24" s="5" t="s">
        <v>1247</v>
      </c>
    </row>
    <row r="25" ht="28" customHeight="1" spans="1:2">
      <c r="A25" s="5">
        <v>5</v>
      </c>
      <c r="B25" s="5" t="s">
        <v>1248</v>
      </c>
    </row>
    <row r="26" ht="28" customHeight="1" spans="1:2">
      <c r="A26" s="5">
        <v>6</v>
      </c>
      <c r="B26" s="5" t="s">
        <v>1249</v>
      </c>
    </row>
    <row r="27" ht="28" customHeight="1" spans="1:2">
      <c r="A27" s="5">
        <v>7</v>
      </c>
      <c r="B27" s="5" t="s">
        <v>1250</v>
      </c>
    </row>
    <row r="28" ht="28" customHeight="1" spans="1:2">
      <c r="A28" s="5">
        <v>8</v>
      </c>
      <c r="B28" s="5" t="s">
        <v>1251</v>
      </c>
    </row>
    <row r="29" ht="28" customHeight="1" spans="1:2">
      <c r="A29" s="5">
        <v>9</v>
      </c>
      <c r="B29" s="5" t="s">
        <v>1252</v>
      </c>
    </row>
    <row r="30" ht="28" customHeight="1" spans="1:2">
      <c r="A30" s="5">
        <v>10</v>
      </c>
      <c r="B30" s="5" t="s">
        <v>1253</v>
      </c>
    </row>
    <row r="31" ht="28" customHeight="1" spans="1:2">
      <c r="B31" s="6"/>
    </row>
    <row r="32" ht="28" customHeight="1" spans="1:2">
      <c r="A32" s="4" t="s">
        <v>1254</v>
      </c>
      <c r="B32" s="4" t="s">
        <v>1255</v>
      </c>
    </row>
    <row r="33" ht="28" customHeight="1" spans="1:2">
      <c r="A33" s="5" t="s">
        <v>1256</v>
      </c>
      <c r="B33" s="7" t="s">
        <v>1257</v>
      </c>
    </row>
    <row r="34" ht="28" customHeight="1" spans="1:2">
      <c r="A34" s="8" t="s">
        <v>1258</v>
      </c>
      <c r="B34" s="7" t="s">
        <v>1259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资料批量编辑</vt:lpstr>
      <vt:lpstr>首页设置</vt:lpstr>
      <vt:lpstr>城市首页</vt:lpstr>
      <vt:lpstr>固定页面</vt:lpstr>
      <vt:lpstr>页脚设置</vt:lpstr>
      <vt:lpstr>使用说明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梭哈冠军</cp:lastModifiedBy>
  <dcterms:created xsi:type="dcterms:W3CDTF">2026-09-23T12:28:00Z</dcterms:created>
  <dcterms:modified xsi:type="dcterms:W3CDTF">2026-10-06T21:11:30Z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3AE6097D22BB42A9B8628FD18FCE9765_12</vt:lpwstr>
  </property>
  <property fmtid="{D5CDD505-2E9C-101B-9397-08002B2CF9AE}" pid="3" name="KSOProductBuildVer">
    <vt:lpwstr>2052-12.1.0.28485</vt:lpwstr>
  </property>
  <property fmtid="{D5CDD505-2E9C-101B-9397-08002B2CF9AE}" pid="4" name="CalculationRule">
    <vt:i4>0</vt:i4>
  </property>
</Properties>
</file>